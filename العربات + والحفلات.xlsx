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image\الحفلات والسناك والعربات\"/>
    </mc:Choice>
  </mc:AlternateContent>
  <xr:revisionPtr revIDLastSave="0" documentId="13_ncr:1_{0767A756-90C3-48F2-B593-7919ECEA609F}" xr6:coauthVersionLast="47" xr6:coauthVersionMax="47" xr10:uidLastSave="{00000000-0000-0000-0000-000000000000}"/>
  <bookViews>
    <workbookView xWindow="285" yWindow="0" windowWidth="15660" windowHeight="13035" tabRatio="857" activeTab="3" xr2:uid="{8FDCD1CD-03E9-4895-922F-8BB4EC6042E4}"/>
  </bookViews>
  <sheets>
    <sheet name="النطاطيات والزحلاقيات" sheetId="6" r:id="rId1"/>
    <sheet name="سناك للحفلات" sheetId="2" r:id="rId2"/>
    <sheet name="ديكورات الحفلات" sheetId="3" r:id="rId3"/>
    <sheet name="بنود اخرى" sheetId="4" r:id="rId4"/>
  </sheets>
  <definedNames>
    <definedName name="_xlnm._FilterDatabase" localSheetId="0" hidden="1">'النطاطيات والزحلاقيات'!$A$2:$L$470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3" l="1"/>
  <c r="P11" i="3"/>
  <c r="O11" i="3"/>
  <c r="N11" i="3"/>
  <c r="M11" i="3"/>
  <c r="M3" i="3"/>
  <c r="N3" i="3"/>
  <c r="O3" i="3"/>
  <c r="P3" i="3"/>
  <c r="Q3" i="3"/>
  <c r="M4" i="3"/>
  <c r="N4" i="3"/>
  <c r="O4" i="3"/>
  <c r="P4" i="3"/>
  <c r="Q4" i="3"/>
  <c r="M5" i="3"/>
  <c r="N5" i="3"/>
  <c r="O5" i="3"/>
  <c r="P5" i="3"/>
  <c r="Q5" i="3"/>
  <c r="M6" i="3"/>
  <c r="N6" i="3"/>
  <c r="O6" i="3"/>
  <c r="P6" i="3"/>
  <c r="Q6" i="3"/>
  <c r="M7" i="3"/>
  <c r="N7" i="3"/>
  <c r="O7" i="3"/>
  <c r="P7" i="3"/>
  <c r="Q7" i="3"/>
  <c r="M8" i="3"/>
  <c r="N8" i="3"/>
  <c r="O8" i="3"/>
  <c r="P8" i="3"/>
  <c r="Q8" i="3"/>
  <c r="M9" i="3"/>
  <c r="N9" i="3"/>
  <c r="O9" i="3"/>
  <c r="P9" i="3"/>
  <c r="Q9" i="3"/>
  <c r="M10" i="3"/>
  <c r="N10" i="3"/>
  <c r="O10" i="3"/>
  <c r="P10" i="3"/>
  <c r="Q10" i="3"/>
  <c r="Q2" i="3"/>
  <c r="P2" i="3"/>
  <c r="P28" i="3" s="1"/>
  <c r="O2" i="3"/>
  <c r="O28" i="3" s="1"/>
  <c r="N2" i="3"/>
  <c r="N28" i="3" s="1"/>
  <c r="M2" i="3"/>
  <c r="M28" i="3" s="1"/>
  <c r="M30" i="3" s="1"/>
  <c r="M22" i="3"/>
  <c r="R19" i="3"/>
  <c r="O24" i="3"/>
  <c r="O25" i="3" s="1"/>
  <c r="O26" i="3" s="1"/>
  <c r="Q36" i="2"/>
  <c r="Q28" i="3" l="1"/>
  <c r="H3" i="2"/>
  <c r="O3" i="2" s="1"/>
  <c r="H4" i="2"/>
  <c r="K4" i="2" s="1"/>
  <c r="H5" i="2"/>
  <c r="K5" i="2" s="1"/>
  <c r="H6" i="2"/>
  <c r="M6" i="2" s="1"/>
  <c r="H7" i="2"/>
  <c r="M7" i="2" s="1"/>
  <c r="H8" i="2"/>
  <c r="M8" i="2" s="1"/>
  <c r="H9" i="2"/>
  <c r="M9" i="2" s="1"/>
  <c r="H10" i="2"/>
  <c r="O10" i="2" s="1"/>
  <c r="H12" i="2"/>
  <c r="K12" i="2" s="1"/>
  <c r="H11" i="2"/>
  <c r="K11" i="2" s="1"/>
  <c r="H13" i="2"/>
  <c r="K13" i="2" s="1"/>
  <c r="H18" i="2"/>
  <c r="M18" i="2" s="1"/>
  <c r="H19" i="2"/>
  <c r="M19" i="2" s="1"/>
  <c r="H20" i="2"/>
  <c r="M20" i="2" s="1"/>
  <c r="H21" i="2"/>
  <c r="M21" i="2" s="1"/>
  <c r="H22" i="2"/>
  <c r="O22" i="2" s="1"/>
  <c r="H23" i="2"/>
  <c r="K23" i="2" s="1"/>
  <c r="H24" i="2"/>
  <c r="K24" i="2" s="1"/>
  <c r="H25" i="2"/>
  <c r="K25" i="2" s="1"/>
  <c r="H26" i="2"/>
  <c r="M26" i="2" s="1"/>
  <c r="H27" i="2"/>
  <c r="M27" i="2" s="1"/>
  <c r="H28" i="2"/>
  <c r="M28" i="2" s="1"/>
  <c r="H2" i="2"/>
  <c r="M2" i="2" s="1"/>
  <c r="V12" i="2" l="1"/>
  <c r="Y27" i="2"/>
  <c r="Y2" i="2"/>
  <c r="Y18" i="2"/>
  <c r="Y13" i="2"/>
  <c r="Y11" i="2"/>
  <c r="Y12" i="2"/>
  <c r="Y9" i="2"/>
  <c r="Y7" i="2"/>
  <c r="Y6" i="2"/>
  <c r="Y19" i="2"/>
  <c r="Y28" i="2"/>
  <c r="Y26" i="2"/>
  <c r="Y25" i="2"/>
  <c r="Q22" i="2"/>
  <c r="Y24" i="2"/>
  <c r="Y23" i="2"/>
  <c r="V24" i="2"/>
  <c r="Y21" i="2"/>
  <c r="Y20" i="2"/>
  <c r="Y22" i="2"/>
  <c r="Y10" i="2"/>
  <c r="Y8" i="2"/>
  <c r="Y5" i="2"/>
  <c r="Y3" i="2"/>
  <c r="Y4" i="2"/>
  <c r="V2" i="2"/>
  <c r="V3" i="2"/>
  <c r="V11" i="2"/>
  <c r="V25" i="2"/>
  <c r="V4" i="2"/>
  <c r="V13" i="2"/>
  <c r="V26" i="2"/>
  <c r="V6" i="2"/>
  <c r="V18" i="2"/>
  <c r="V27" i="2"/>
  <c r="V7" i="2"/>
  <c r="V19" i="2"/>
  <c r="V28" i="2"/>
  <c r="S5" i="2"/>
  <c r="V8" i="2"/>
  <c r="V20" i="2"/>
  <c r="V5" i="2"/>
  <c r="V9" i="2"/>
  <c r="V21" i="2"/>
  <c r="S22" i="2"/>
  <c r="V10" i="2"/>
  <c r="V23" i="2"/>
  <c r="V22" i="2"/>
  <c r="Q21" i="2"/>
  <c r="S2" i="2"/>
  <c r="S28" i="2"/>
  <c r="S21" i="2"/>
  <c r="S20" i="2"/>
  <c r="S9" i="2"/>
  <c r="S8" i="2"/>
  <c r="Q19" i="2"/>
  <c r="S27" i="2"/>
  <c r="S19" i="2"/>
  <c r="S7" i="2"/>
  <c r="Q11" i="2"/>
  <c r="S26" i="2"/>
  <c r="S18" i="2"/>
  <c r="S6" i="2"/>
  <c r="Q10" i="2"/>
  <c r="S25" i="2"/>
  <c r="S13" i="2"/>
  <c r="Q2" i="2"/>
  <c r="Q9" i="2"/>
  <c r="S24" i="2"/>
  <c r="S11" i="2"/>
  <c r="Q27" i="2"/>
  <c r="Q7" i="2"/>
  <c r="S23" i="2"/>
  <c r="S12" i="2"/>
  <c r="S4" i="2"/>
  <c r="Q24" i="2"/>
  <c r="Q3" i="2"/>
  <c r="S10" i="2"/>
  <c r="S3" i="2"/>
  <c r="Q28" i="2"/>
  <c r="Q20" i="2"/>
  <c r="Q8" i="2"/>
  <c r="Q26" i="2"/>
  <c r="Q18" i="2"/>
  <c r="Q6" i="2"/>
  <c r="Q25" i="2"/>
  <c r="Q13" i="2"/>
  <c r="Q5" i="2"/>
  <c r="Q23" i="2"/>
  <c r="Q12" i="2"/>
  <c r="Q4" i="2"/>
  <c r="O2" i="2"/>
  <c r="K22" i="2"/>
  <c r="M25" i="2"/>
  <c r="M13" i="2"/>
  <c r="O21" i="2"/>
  <c r="O9" i="2"/>
  <c r="K2" i="2"/>
  <c r="K21" i="2"/>
  <c r="K9" i="2"/>
  <c r="M24" i="2"/>
  <c r="M11" i="2"/>
  <c r="M5" i="2"/>
  <c r="O28" i="2"/>
  <c r="O20" i="2"/>
  <c r="O8" i="2"/>
  <c r="K10" i="2"/>
  <c r="K28" i="2"/>
  <c r="K20" i="2"/>
  <c r="K8" i="2"/>
  <c r="M23" i="2"/>
  <c r="M12" i="2"/>
  <c r="M4" i="2"/>
  <c r="O27" i="2"/>
  <c r="O19" i="2"/>
  <c r="O7" i="2"/>
  <c r="K27" i="2"/>
  <c r="K19" i="2"/>
  <c r="K7" i="2"/>
  <c r="M22" i="2"/>
  <c r="M10" i="2"/>
  <c r="M3" i="2"/>
  <c r="O26" i="2"/>
  <c r="O18" i="2"/>
  <c r="O6" i="2"/>
  <c r="K26" i="2"/>
  <c r="K18" i="2"/>
  <c r="K6" i="2"/>
  <c r="O25" i="2"/>
  <c r="O13" i="2"/>
  <c r="O24" i="2"/>
  <c r="O11" i="2"/>
  <c r="O5" i="2"/>
  <c r="K3" i="2"/>
  <c r="O23" i="2"/>
  <c r="O12" i="2"/>
  <c r="O4" i="2"/>
</calcChain>
</file>

<file path=xl/sharedStrings.xml><?xml version="1.0" encoding="utf-8"?>
<sst xmlns="http://schemas.openxmlformats.org/spreadsheetml/2006/main" count="883" uniqueCount="233">
  <si>
    <t>الرقم</t>
  </si>
  <si>
    <t>اسم الصنف او الخدمة بالعربي</t>
  </si>
  <si>
    <t>بيع أو ايجار</t>
  </si>
  <si>
    <t>شامل</t>
  </si>
  <si>
    <t>مدة الايجار بالساعة</t>
  </si>
  <si>
    <t>سعر البيع او الايجار</t>
  </si>
  <si>
    <t>النوع</t>
  </si>
  <si>
    <t>ماكينة الفشار</t>
  </si>
  <si>
    <t>ايجار</t>
  </si>
  <si>
    <t>موظفة</t>
  </si>
  <si>
    <t>3 ساعات</t>
  </si>
  <si>
    <t>ماكينة الفشار + العربة</t>
  </si>
  <si>
    <t>ماكينة غزل البنات</t>
  </si>
  <si>
    <t>ماكينة غزل البنات + العربة</t>
  </si>
  <si>
    <t>ماكينة البطاطس الحلزوني + عربة</t>
  </si>
  <si>
    <t>ماكينة الذرة الحلوه+ طاولة</t>
  </si>
  <si>
    <t>ماكينة الذرة الحلوه + عربة</t>
  </si>
  <si>
    <t>ماكينة العصير البارد + طاولة</t>
  </si>
  <si>
    <t>ماكينة نافورة الشوكلاته + طاولة</t>
  </si>
  <si>
    <t xml:space="preserve">ماكينة ايس كريم </t>
  </si>
  <si>
    <t>عربة برجر + نقتس + شيبس</t>
  </si>
  <si>
    <t xml:space="preserve">عربة البانكيك </t>
  </si>
  <si>
    <t xml:space="preserve">عربة الوافل </t>
  </si>
  <si>
    <t>القياسات</t>
  </si>
  <si>
    <t xml:space="preserve">التفاصيل </t>
  </si>
  <si>
    <t>180*150</t>
  </si>
  <si>
    <t>فشار - حلويات مشكلة - شيبس - مارشيملو</t>
  </si>
  <si>
    <t>ديكور حفلة - استاند دائري مرفوع</t>
  </si>
  <si>
    <t>150*150</t>
  </si>
  <si>
    <t>ديكور حفلة - استاند دائري ارضي</t>
  </si>
  <si>
    <t>200*200</t>
  </si>
  <si>
    <t>عدد 2 بوابة</t>
  </si>
  <si>
    <t>عدد 3 بوابة</t>
  </si>
  <si>
    <t xml:space="preserve">قوس بالونات </t>
  </si>
  <si>
    <t>بيع</t>
  </si>
  <si>
    <t xml:space="preserve"> بطول 6 متر</t>
  </si>
  <si>
    <t xml:space="preserve"> شامل التوصيل داخل الدوحة</t>
  </si>
  <si>
    <t>بالونات هيليوم</t>
  </si>
  <si>
    <t>عدد 1 بالون</t>
  </si>
  <si>
    <t>غير شامل التوصيل</t>
  </si>
  <si>
    <t>عدد 1</t>
  </si>
  <si>
    <t>جهاز فقاعات الصابون</t>
  </si>
  <si>
    <t>جهاز ماكينة الدخان</t>
  </si>
  <si>
    <t>ملاحظات</t>
  </si>
  <si>
    <t>لبس شخصية كرتونية</t>
  </si>
  <si>
    <t>ستيج ارضي مضيئ مقاس 3*3</t>
  </si>
  <si>
    <t>لا يوجد</t>
  </si>
  <si>
    <t>يوم واحد</t>
  </si>
  <si>
    <t>ستيج ارضي مضيئ مقاس 3*4</t>
  </si>
  <si>
    <t>ستيج ارضي مضيئ مقاس 4*4</t>
  </si>
  <si>
    <t>ماكينة الفشار + العربة الجديدة</t>
  </si>
  <si>
    <t>ماكينة غزل البنات + العربة الجديدة</t>
  </si>
  <si>
    <t>عربة البطاطا الحلزونية الجديدة</t>
  </si>
  <si>
    <t>عربة الذرة الحلوه الجديدة</t>
  </si>
  <si>
    <t>عربة العصير البارد الجديدة</t>
  </si>
  <si>
    <t>عربة العصير السلاش الجديدة</t>
  </si>
  <si>
    <t>عربة سلاش البراد + الايسكريم الجديدة</t>
  </si>
  <si>
    <t>عربة ايس كريم  الجديدة</t>
  </si>
  <si>
    <t>عربة نافورة الشوكلاته الجديدة</t>
  </si>
  <si>
    <t xml:space="preserve"> مدة الايجار بالساعة </t>
  </si>
  <si>
    <t xml:space="preserve"> سعر البيع او الايجار </t>
  </si>
  <si>
    <t xml:space="preserve"> عدد الاطفال </t>
  </si>
  <si>
    <t xml:space="preserve"> 3 ساعات </t>
  </si>
  <si>
    <t>غير مسموح تأجير الشخصية الكرتونية بمفردها ، ولكن تكون مع حفلة او عربات سناك واقل شيء عدد 2 من العربات</t>
  </si>
  <si>
    <t>6كراسي لون اخصر + 1 طاولة</t>
  </si>
  <si>
    <t>غير مسموح تأجير الكراسي بمفردها ، ولكن تكون مع عربات سناك واقل شيء عدد 2 من العربات</t>
  </si>
  <si>
    <t>6كراسي لون ازرق + 1 طاولة</t>
  </si>
  <si>
    <t>6كراسي لون اصفر + 1 طاولة</t>
  </si>
  <si>
    <t>6كراسي لون احمر + 1 طاولة</t>
  </si>
  <si>
    <t>6كراسي لون وردي + 1 طاولة</t>
  </si>
  <si>
    <t>6كراسي لون بنفسجي + 1 طاولة</t>
  </si>
  <si>
    <t>6كراسي لون ابيض  + 1 طاولة</t>
  </si>
  <si>
    <t>سعر الايجار</t>
  </si>
  <si>
    <t>سعر القطع</t>
  </si>
  <si>
    <t xml:space="preserve"> سعر العربة + موظفة الايجار </t>
  </si>
  <si>
    <t>اجمالي</t>
  </si>
  <si>
    <t>لعدد100 طفل يجب اضافة عربة + موظفة اضافية  بقيمة 300 ريال</t>
  </si>
  <si>
    <t>شرط</t>
  </si>
  <si>
    <t>20 طفل</t>
  </si>
  <si>
    <t>40 طفل</t>
  </si>
  <si>
    <t>30 طفل</t>
  </si>
  <si>
    <t>قيمة القطع</t>
  </si>
  <si>
    <t>50 طفل</t>
  </si>
  <si>
    <t>عدد ستاند</t>
  </si>
  <si>
    <t>213*122</t>
  </si>
  <si>
    <t>180*100</t>
  </si>
  <si>
    <t>ديكور حفلة عيد ميلاد - استاند مربع</t>
  </si>
  <si>
    <t>عدد الالوان</t>
  </si>
  <si>
    <t>ابيض + ذهبي</t>
  </si>
  <si>
    <t>ديكور حفلة - ستاند حديد دائري مفرغ</t>
  </si>
  <si>
    <t xml:space="preserve"> ستاند مربع - ومطبوع حسب طلب الزبون + قوس بالونات + طاولة كبيرة 180*75 + مفرش + اضاءة</t>
  </si>
  <si>
    <t>نوع السناك واللحلويات</t>
  </si>
  <si>
    <t>يومين</t>
  </si>
  <si>
    <t>قياس النطاطية</t>
  </si>
  <si>
    <t>الطول / متر</t>
  </si>
  <si>
    <t>العرض  / متر</t>
  </si>
  <si>
    <t>الارتفاع  / متر</t>
  </si>
  <si>
    <t>العمر المناسب</t>
  </si>
  <si>
    <t xml:space="preserve">الملعب الصابوني الهوائي  </t>
  </si>
  <si>
    <t>صابوني هوائي</t>
  </si>
  <si>
    <t>من 6 سنوات الى 18 سنة</t>
  </si>
  <si>
    <t xml:space="preserve">الملعب الصابوني ارضي  </t>
  </si>
  <si>
    <t>ملعب صابوني هوائي لكرة السلة</t>
  </si>
  <si>
    <t xml:space="preserve">زحلاقية ونطاطية مغامرات سبايدرمان </t>
  </si>
  <si>
    <t>جافة</t>
  </si>
  <si>
    <t>زحلاقية ونطاطية السفينة</t>
  </si>
  <si>
    <t>زحلاقية ونطاطية فروزن</t>
  </si>
  <si>
    <t>من2 سنوات الى 8 سنة</t>
  </si>
  <si>
    <t>زحلاقية ونطاطية البرنسيس</t>
  </si>
  <si>
    <t>زحلاقية ونطاطية الخارقون 2</t>
  </si>
  <si>
    <t xml:space="preserve">زحلاقية ونطاطية مني ماوس وبطوطة </t>
  </si>
  <si>
    <t>زحلاقية ونطاطية منيونز</t>
  </si>
  <si>
    <t xml:space="preserve">الملعب الصابوني الهوائي 3 </t>
  </si>
  <si>
    <t xml:space="preserve">الملعب الصابوني الهوائي 2 </t>
  </si>
  <si>
    <t>الملعب الصابوني الهوائي لكرة القدم</t>
  </si>
  <si>
    <t>زحلاقية عالم ديزني العملاقة</t>
  </si>
  <si>
    <t>زحلاقية ونطاطية جنغل زوون</t>
  </si>
  <si>
    <t xml:space="preserve">نطاطية مينونز </t>
  </si>
  <si>
    <t>من2 سنوات الى 5 سنة</t>
  </si>
  <si>
    <t>نطاطية المهرج</t>
  </si>
  <si>
    <t>النطاطية الراقصة</t>
  </si>
  <si>
    <t>ملعب ديزني الصابوني الهوائي</t>
  </si>
  <si>
    <t>ملعب 2022 الصابوني الهوائي</t>
  </si>
  <si>
    <t>زحلاقية  كاندي</t>
  </si>
  <si>
    <t>زحلاقية العصر الجليدي</t>
  </si>
  <si>
    <t>زحلاقية الاميرات السبعة</t>
  </si>
  <si>
    <t>نطاطية وزحلاقية يونيكورن</t>
  </si>
  <si>
    <t>نطاطية وزحلاقية الفراشات</t>
  </si>
  <si>
    <t>نطاطية وزحلاقية صوفيا</t>
  </si>
  <si>
    <t>نطاطية وزحلاقية قصر الاميرات</t>
  </si>
  <si>
    <t>زحلاقية ونطاطية ميكي وميني 1</t>
  </si>
  <si>
    <t>زحلاقية ونطاطية لول 1</t>
  </si>
  <si>
    <t>زحلاقية ونطاطية سبايدرمان 1</t>
  </si>
  <si>
    <t>زحلاقية الابطال الخارقين</t>
  </si>
  <si>
    <t>نطاطية وزحلاقية ببجي وفورت نايت</t>
  </si>
  <si>
    <t>نطاطية وزحلاقية عربة اليونيكورن</t>
  </si>
  <si>
    <t>زحلاقية بارتي المائية</t>
  </si>
  <si>
    <t>مائية</t>
  </si>
  <si>
    <t>زحلاقية منيونز المائية</t>
  </si>
  <si>
    <t>زحلاقية الاخطبوط المائية العملاقة</t>
  </si>
  <si>
    <t>زحلاقية الفلامينجو المائية</t>
  </si>
  <si>
    <t>نطاطية وزحلاقية اليونيكورن المائية</t>
  </si>
  <si>
    <t>زحلاقية نيوكورن المائية</t>
  </si>
  <si>
    <t>زحلاقية بيبي شرك المائية</t>
  </si>
  <si>
    <t>زحلاقية سبايدر وسوبرمان المائية</t>
  </si>
  <si>
    <t>زحلاقية جزيرة الفلامنجو المائية</t>
  </si>
  <si>
    <t>زحلاقية فروزن المائية</t>
  </si>
  <si>
    <t xml:space="preserve">زحلاقية الحورية المائية  </t>
  </si>
  <si>
    <t>زحلاقية ونطاطية الباندا</t>
  </si>
  <si>
    <t>زحلاقية الأسد الملك المائية</t>
  </si>
  <si>
    <t>زحلاقية القراصنة المائية</t>
  </si>
  <si>
    <t>زحلاقية الديناصور المائية</t>
  </si>
  <si>
    <t>زحلاقية ونطاطية كرة القدم</t>
  </si>
  <si>
    <t>زحلاقية الكاندي ( 2 ) المائية</t>
  </si>
  <si>
    <t>زحلاقية سلم الطائرة</t>
  </si>
  <si>
    <t>زحلاقية توي ستوري</t>
  </si>
  <si>
    <t>زحلاقية اليونيكورن المائية</t>
  </si>
  <si>
    <t>زحلاقية جزيرة الفلامينجو المائية</t>
  </si>
  <si>
    <t>زحلاقية لول المائية</t>
  </si>
  <si>
    <t>زحلاقية الأسد الملك المائية العملاقة</t>
  </si>
  <si>
    <t>زحلاقية الاميرات المائية</t>
  </si>
  <si>
    <t>زحلاقية عالم ديزني المائية</t>
  </si>
  <si>
    <t>زحلاقية الكاندي المائية العملاقة</t>
  </si>
  <si>
    <t>زحلاقية الباندا المائية العملاقة</t>
  </si>
  <si>
    <t xml:space="preserve">ملعب صابوني هوائي </t>
  </si>
  <si>
    <t>ملعب صابوني هوائي</t>
  </si>
  <si>
    <t xml:space="preserve">حوض الجزيرة 2 </t>
  </si>
  <si>
    <t>حوض سباحة</t>
  </si>
  <si>
    <t>60 سم</t>
  </si>
  <si>
    <t>من2 سنوات الى 10 سنة</t>
  </si>
  <si>
    <t>حوض الجزيرة 1</t>
  </si>
  <si>
    <t>زحلاقية ونطاطية سبايدرمان</t>
  </si>
  <si>
    <t>زحلاقية ونطاطية فورت نايت 2</t>
  </si>
  <si>
    <t>زحلاقية ونطاطية الاميرات 3</t>
  </si>
  <si>
    <t>زحلاقية ونطاطية الاميرات 2</t>
  </si>
  <si>
    <t>زحلاقية ونطاطية لول 2</t>
  </si>
  <si>
    <t>زحلاقية ونطاطية ميكي وميني 2</t>
  </si>
  <si>
    <t>زحلاقية ونطاطية فروزن وآنا</t>
  </si>
  <si>
    <t>زحلاقية ونطاطية الكاندي 2</t>
  </si>
  <si>
    <t>زحلاقية ونطاطية سبايدر ومان</t>
  </si>
  <si>
    <t xml:space="preserve">زحلاقية ونطاطية فروزن </t>
  </si>
  <si>
    <t>PJMASKS زحلاقية ونطاطية</t>
  </si>
  <si>
    <t>زحلاقية الديناصور</t>
  </si>
  <si>
    <t>زحلاقية بيبي يونيكورن</t>
  </si>
  <si>
    <t>جهاز الرغوة الصابوني المدفع</t>
  </si>
  <si>
    <t>يومين + عدد 2 كيس صابون</t>
  </si>
  <si>
    <t>يوم واحد + عدد 1 كيس صابون</t>
  </si>
  <si>
    <t>رغوة</t>
  </si>
  <si>
    <t>جهاز الرغوة الصابوني الشلال</t>
  </si>
  <si>
    <t>180*180</t>
  </si>
  <si>
    <t>100*180</t>
  </si>
  <si>
    <t>ديكور حفلة عيد ميلاد - استاند مربع كبير لامع</t>
  </si>
  <si>
    <t>ديكور حفلة عيد ميلاد - استاند مربع صغير لامع</t>
  </si>
  <si>
    <t>بنر دائري حسب طلب الزبون مع إضافة أسماء أطفال + قوس بالونات + طاولة للكيك + مفرش للطاولة + اضاءة</t>
  </si>
  <si>
    <t>ستاند مربع ومثبت عليه خلفيات لامعه حسب اللون الخاص بالزبون+ طاولة للكيك + مفرش للطاولة + قوس بالونات + اضاءة</t>
  </si>
  <si>
    <t>ستاند مربع ومثبت عليه خلفيات لامعه حسب اللون الخاص بالزبون + طاولة للكيك + مفرش للطاولة + قوس بالونات + اضاءة</t>
  </si>
  <si>
    <t>استاند دائري مفرغ معلق عليه HAPPY BIRTHDAY  + قوس بالونات + طاولة للكيك + مفرش للطاولة + اضاءة</t>
  </si>
  <si>
    <t>ديكور حفلة - استاندات البوابة الكبير</t>
  </si>
  <si>
    <t>بنر دائري حسب طلب الزبون مع إضافة أسماء أطفال + قوس بالونات + طاولة للكيك + مفرش للطاولة  + اضاءة</t>
  </si>
  <si>
    <t>ديكور حفلة - عدد استاند بوابة كبير + صغير</t>
  </si>
  <si>
    <t>عدد 3 بنر مطبوع مع إضافة أسماء أطفال + ومثبت على ستاندات خشبية + قوس بالونات + طاولة للكيك + مفرش للطاولة + اضاءة</t>
  </si>
  <si>
    <t>عدد 2 بنر مطبوع مع إضافة أسماء أطفال + ومثبت على ستاندات خشبية + قوس بالونات + طاولة للكيك + مفرش للطاولة + اضاءة</t>
  </si>
  <si>
    <t>بنر طويل مطبوع حسب طلب الزبون ومثبت على ستاند خشبي + قوس بالونات + طاولة للكيك + مفرش للطاولة+ اضاءة</t>
  </si>
  <si>
    <t>القياسات 1</t>
  </si>
  <si>
    <t>القياسات 2</t>
  </si>
  <si>
    <t>ديكور حفلة - تخرج</t>
  </si>
  <si>
    <t>مقاسات مختلفة</t>
  </si>
  <si>
    <t>ستاند مربع او دائري خشب او دائى مفرخ او بوابة ، ومثبت عليه خلفيات لامعه او بنر مطبوع او مجموعه من الورود بالاضافة الى قوس بالونات ببشكل وبالوان محددة يختاره الزبون + طاولة للكيك + مفرش للطاولة + اضاءة</t>
  </si>
  <si>
    <t>10 طفل</t>
  </si>
  <si>
    <t xml:space="preserve">فشار </t>
  </si>
  <si>
    <t>شيبس</t>
  </si>
  <si>
    <t>حلويات</t>
  </si>
  <si>
    <t>ماريملو</t>
  </si>
  <si>
    <t xml:space="preserve">ماء </t>
  </si>
  <si>
    <t>عصير</t>
  </si>
  <si>
    <t xml:space="preserve">اضافة مجسم (فوم) </t>
  </si>
  <si>
    <t xml:space="preserve"> اضافة ملصقات على الطاولة المستدير عدد 1 </t>
  </si>
  <si>
    <t>اضافة طاولة مستديرة عدد 1</t>
  </si>
  <si>
    <t>فشار - حلويات مشكلة - شيبس - مارشيملو - مياه - عصير</t>
  </si>
  <si>
    <t>ديكور حفلة - عدد 3 استاندات بوابة</t>
  </si>
  <si>
    <t>عدد 1 حبة بالون</t>
  </si>
  <si>
    <t>من 6 سنوات الى 10 سنة</t>
  </si>
  <si>
    <t>زحلاقية السيارة العجيبة المائية</t>
  </si>
  <si>
    <t>رقم النطاطية</t>
  </si>
  <si>
    <t>زحلاقية ونطاطية السيرك العجيب</t>
  </si>
  <si>
    <t>من 2 سنوات الى 06 سنة</t>
  </si>
  <si>
    <t>من 2 سنوات الى 13 سنة</t>
  </si>
  <si>
    <t>زحلاقية ونطاطية  بوني</t>
  </si>
  <si>
    <t>زحلاقية ونطاطية  الديناصور2</t>
  </si>
  <si>
    <t>زحلاقية ونطاطية  باو باترول</t>
  </si>
  <si>
    <t>للاستفسار يرجى التواصل مع الادارة</t>
  </si>
  <si>
    <t>ديكورات خاصة من اعمال الشركة</t>
  </si>
  <si>
    <t>ماكينة البراد والايسكريم + عربة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</si>
</sst>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0000FF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1" fillId="2" borderId="1" xfId="1" applyFill="1" applyBorder="1" applyAlignment="1">
      <alignment horizontal="center" vertical="center"/>
    </xf>
    <xf numFmtId="43" fontId="2" fillId="2" borderId="3" xfId="2" applyFont="1" applyFill="1" applyBorder="1" applyAlignment="1">
      <alignment horizontal="center" vertical="center" readingOrder="2"/>
    </xf>
    <xf numFmtId="43" fontId="0" fillId="3" borderId="3" xfId="2" applyFont="1" applyFill="1" applyBorder="1" applyAlignment="1">
      <alignment horizontal="center" vertical="center" readingOrder="2"/>
    </xf>
    <xf numFmtId="0" fontId="1" fillId="0" borderId="0" xfId="1"/>
    <xf numFmtId="0" fontId="1" fillId="2" borderId="4" xfId="1" applyFill="1" applyBorder="1" applyAlignment="1">
      <alignment horizontal="center" vertical="center"/>
    </xf>
    <xf numFmtId="0" fontId="1" fillId="0" borderId="5" xfId="1" applyBorder="1" applyAlignment="1">
      <alignment horizontal="center" vertical="center" readingOrder="2"/>
    </xf>
    <xf numFmtId="43" fontId="2" fillId="0" borderId="5" xfId="2" applyFont="1" applyBorder="1" applyAlignment="1">
      <alignment horizontal="center" vertical="center" readingOrder="2"/>
    </xf>
    <xf numFmtId="43" fontId="0" fillId="3" borderId="5" xfId="2" applyFont="1" applyFill="1" applyBorder="1" applyAlignment="1">
      <alignment horizontal="center" vertical="center" readingOrder="2"/>
    </xf>
    <xf numFmtId="43" fontId="0" fillId="5" borderId="5" xfId="2" applyFont="1" applyFill="1" applyBorder="1" applyAlignment="1">
      <alignment horizontal="center" vertical="center" readingOrder="2"/>
    </xf>
    <xf numFmtId="0" fontId="3" fillId="0" borderId="5" xfId="1" applyFont="1" applyBorder="1" applyAlignment="1">
      <alignment horizontal="center" vertical="center" readingOrder="2"/>
    </xf>
    <xf numFmtId="0" fontId="1" fillId="2" borderId="5" xfId="1" applyFill="1" applyBorder="1" applyAlignment="1">
      <alignment horizontal="center" vertical="center"/>
    </xf>
    <xf numFmtId="0" fontId="1" fillId="0" borderId="5" xfId="1" applyBorder="1" applyAlignment="1">
      <alignment horizontal="center" readingOrder="2"/>
    </xf>
    <xf numFmtId="43" fontId="0" fillId="0" borderId="5" xfId="2" applyFont="1" applyFill="1" applyBorder="1" applyAlignment="1">
      <alignment horizontal="center" vertical="center" readingOrder="2"/>
    </xf>
    <xf numFmtId="0" fontId="4" fillId="0" borderId="5" xfId="1" applyFont="1" applyBorder="1" applyAlignment="1">
      <alignment horizontal="center" vertical="center" readingOrder="2"/>
    </xf>
    <xf numFmtId="0" fontId="1" fillId="6" borderId="5" xfId="1" applyFill="1" applyBorder="1" applyAlignment="1">
      <alignment horizontal="center" vertical="center" readingOrder="2"/>
    </xf>
    <xf numFmtId="0" fontId="1" fillId="0" borderId="5" xfId="1" applyBorder="1"/>
    <xf numFmtId="43" fontId="0" fillId="7" borderId="5" xfId="2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readingOrder="2"/>
    </xf>
    <xf numFmtId="0" fontId="0" fillId="2" borderId="3" xfId="0" applyFill="1" applyBorder="1" applyAlignment="1">
      <alignment horizontal="center" vertical="center" readingOrder="2"/>
    </xf>
    <xf numFmtId="0" fontId="0" fillId="2" borderId="5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 readingOrder="2"/>
    </xf>
    <xf numFmtId="0" fontId="0" fillId="0" borderId="5" xfId="0" applyBorder="1"/>
    <xf numFmtId="43" fontId="0" fillId="8" borderId="5" xfId="2" applyFont="1" applyFill="1" applyBorder="1" applyAlignment="1">
      <alignment horizontal="center" vertical="center" readingOrder="2"/>
    </xf>
    <xf numFmtId="43" fontId="1" fillId="0" borderId="0" xfId="1" applyNumberFormat="1"/>
    <xf numFmtId="43" fontId="0" fillId="8" borderId="0" xfId="2" applyFont="1" applyFill="1" applyBorder="1" applyAlignment="1">
      <alignment horizontal="center" vertical="center" readingOrder="2"/>
    </xf>
    <xf numFmtId="0" fontId="1" fillId="2" borderId="1" xfId="1" applyFill="1" applyBorder="1" applyAlignment="1">
      <alignment horizontal="center" vertical="center" wrapText="1"/>
    </xf>
    <xf numFmtId="0" fontId="1" fillId="2" borderId="2" xfId="1" applyFill="1" applyBorder="1" applyAlignment="1">
      <alignment horizontal="center" vertical="center" wrapText="1" readingOrder="2"/>
    </xf>
    <xf numFmtId="0" fontId="1" fillId="2" borderId="3" xfId="1" applyFill="1" applyBorder="1" applyAlignment="1">
      <alignment horizontal="center" vertical="center" wrapText="1" readingOrder="2"/>
    </xf>
    <xf numFmtId="43" fontId="2" fillId="2" borderId="3" xfId="2" applyFont="1" applyFill="1" applyBorder="1" applyAlignment="1">
      <alignment horizontal="center" vertical="center" wrapText="1" readingOrder="2"/>
    </xf>
    <xf numFmtId="43" fontId="0" fillId="7" borderId="3" xfId="2" applyFont="1" applyFill="1" applyBorder="1" applyAlignment="1">
      <alignment horizontal="center" vertical="center" wrapText="1" readingOrder="2"/>
    </xf>
    <xf numFmtId="43" fontId="0" fillId="4" borderId="3" xfId="2" applyFont="1" applyFill="1" applyBorder="1" applyAlignment="1">
      <alignment horizontal="center" vertical="center" wrapText="1" readingOrder="2"/>
    </xf>
    <xf numFmtId="43" fontId="0" fillId="5" borderId="3" xfId="2" applyFont="1" applyFill="1" applyBorder="1" applyAlignment="1">
      <alignment horizontal="center" vertical="center" wrapText="1" readingOrder="2"/>
    </xf>
    <xf numFmtId="43" fontId="0" fillId="8" borderId="3" xfId="2" applyFont="1" applyFill="1" applyBorder="1" applyAlignment="1">
      <alignment horizontal="center" vertical="center" wrapText="1" readingOrder="2"/>
    </xf>
    <xf numFmtId="43" fontId="0" fillId="8" borderId="0" xfId="2" applyFont="1" applyFill="1" applyBorder="1" applyAlignment="1">
      <alignment horizontal="center" vertical="center" wrapText="1" readingOrder="2"/>
    </xf>
    <xf numFmtId="0" fontId="1" fillId="0" borderId="0" xfId="1" applyAlignment="1">
      <alignment wrapText="1"/>
    </xf>
    <xf numFmtId="43" fontId="0" fillId="9" borderId="3" xfId="2" applyFont="1" applyFill="1" applyBorder="1" applyAlignment="1">
      <alignment horizontal="center" vertical="center" wrapText="1" readingOrder="2"/>
    </xf>
    <xf numFmtId="43" fontId="0" fillId="9" borderId="5" xfId="2" applyFont="1" applyFill="1" applyBorder="1" applyAlignment="1">
      <alignment horizontal="center" vertical="center" readingOrder="2"/>
    </xf>
    <xf numFmtId="43" fontId="0" fillId="6" borderId="3" xfId="2" applyFont="1" applyFill="1" applyBorder="1" applyAlignment="1">
      <alignment horizontal="center" vertical="center" wrapText="1" readingOrder="2"/>
    </xf>
    <xf numFmtId="43" fontId="0" fillId="6" borderId="5" xfId="2" applyFont="1" applyFill="1" applyBorder="1" applyAlignment="1">
      <alignment horizontal="center" vertical="center" readingOrder="2"/>
    </xf>
    <xf numFmtId="43" fontId="0" fillId="8" borderId="5" xfId="2" applyNumberFormat="1" applyFont="1" applyFill="1" applyBorder="1" applyAlignment="1">
      <alignment horizontal="center" vertical="center" readingOrder="2"/>
    </xf>
    <xf numFmtId="43" fontId="0" fillId="9" borderId="5" xfId="2" applyNumberFormat="1" applyFont="1" applyFill="1" applyBorder="1" applyAlignment="1">
      <alignment horizontal="center" vertical="center" readingOrder="2"/>
    </xf>
    <xf numFmtId="43" fontId="0" fillId="6" borderId="5" xfId="2" applyNumberFormat="1" applyFont="1" applyFill="1" applyBorder="1" applyAlignment="1">
      <alignment horizontal="center" vertical="center" readingOrder="2"/>
    </xf>
    <xf numFmtId="43" fontId="0" fillId="0" borderId="3" xfId="2" applyFont="1" applyFill="1" applyBorder="1" applyAlignment="1">
      <alignment horizontal="center" vertical="center" wrapText="1" readingOrder="2"/>
    </xf>
    <xf numFmtId="43" fontId="2" fillId="0" borderId="3" xfId="2" applyFont="1" applyFill="1" applyBorder="1" applyAlignment="1">
      <alignment horizontal="center" vertical="center" wrapText="1" readingOrder="2"/>
    </xf>
    <xf numFmtId="43" fontId="2" fillId="0" borderId="5" xfId="2" applyFont="1" applyFill="1" applyBorder="1" applyAlignment="1">
      <alignment horizontal="center" vertical="center" readingOrder="2"/>
    </xf>
    <xf numFmtId="43" fontId="0" fillId="10" borderId="5" xfId="2" applyFont="1" applyFill="1" applyBorder="1" applyAlignment="1">
      <alignment horizontal="center" vertical="center" readingOrder="2"/>
    </xf>
    <xf numFmtId="0" fontId="1" fillId="0" borderId="0" xfId="1" applyAlignment="1">
      <alignment readingOrder="2"/>
    </xf>
    <xf numFmtId="0" fontId="1" fillId="0" borderId="6" xfId="1" applyBorder="1" applyAlignment="1">
      <alignment horizontal="center" readingOrder="2"/>
    </xf>
    <xf numFmtId="0" fontId="1" fillId="2" borderId="7" xfId="1" applyFill="1" applyBorder="1" applyAlignment="1">
      <alignment horizontal="center" vertical="center" readingOrder="2"/>
    </xf>
    <xf numFmtId="43" fontId="0" fillId="2" borderId="8" xfId="2" applyFont="1" applyFill="1" applyBorder="1" applyAlignment="1">
      <alignment horizontal="center" vertical="center" readingOrder="2"/>
    </xf>
    <xf numFmtId="0" fontId="1" fillId="2" borderId="9" xfId="1" applyFill="1" applyBorder="1" applyAlignment="1">
      <alignment horizontal="center" vertical="center"/>
    </xf>
    <xf numFmtId="43" fontId="0" fillId="0" borderId="5" xfId="2" applyFont="1" applyBorder="1" applyAlignment="1">
      <alignment horizontal="center" vertical="center" readingOrder="2"/>
    </xf>
    <xf numFmtId="0" fontId="1" fillId="0" borderId="5" xfId="1" applyBorder="1" applyAlignment="1">
      <alignment horizontal="center" vertical="center"/>
    </xf>
    <xf numFmtId="0" fontId="2" fillId="0" borderId="5" xfId="1" applyFont="1" applyBorder="1" applyAlignment="1">
      <alignment horizontal="center" vertical="center" readingOrder="2"/>
    </xf>
    <xf numFmtId="0" fontId="5" fillId="0" borderId="5" xfId="1" applyFont="1" applyBorder="1" applyAlignment="1">
      <alignment horizontal="center" vertical="center" readingOrder="2"/>
    </xf>
    <xf numFmtId="43" fontId="0" fillId="0" borderId="0" xfId="2" applyFont="1" applyAlignment="1">
      <alignment horizontal="center" readingOrder="2"/>
    </xf>
    <xf numFmtId="0" fontId="1" fillId="5" borderId="5" xfId="1" applyFill="1" applyBorder="1" applyAlignment="1">
      <alignment horizontal="center" vertical="center" readingOrder="2"/>
    </xf>
    <xf numFmtId="0" fontId="3" fillId="5" borderId="5" xfId="1" applyFont="1" applyFill="1" applyBorder="1" applyAlignment="1">
      <alignment horizontal="center" vertical="center" readingOrder="2"/>
    </xf>
    <xf numFmtId="0" fontId="1" fillId="2" borderId="5" xfId="1" applyFill="1" applyBorder="1" applyAlignment="1">
      <alignment horizontal="center" vertical="center" readingOrder="2"/>
    </xf>
    <xf numFmtId="43" fontId="0" fillId="8" borderId="5" xfId="2" applyFont="1" applyFill="1" applyBorder="1" applyAlignment="1">
      <alignment horizontal="center" vertical="center" wrapText="1" readingOrder="2"/>
    </xf>
    <xf numFmtId="43" fontId="3" fillId="6" borderId="10" xfId="2" applyFont="1" applyFill="1" applyBorder="1" applyAlignment="1">
      <alignment horizontal="center" readingOrder="2"/>
    </xf>
    <xf numFmtId="43" fontId="3" fillId="6" borderId="11" xfId="2" applyFont="1" applyFill="1" applyBorder="1" applyAlignment="1">
      <alignment horizontal="center" readingOrder="2"/>
    </xf>
  </cellXfs>
  <cellStyles count="3">
    <cellStyle name="Comma 2" xfId="2" xr:uid="{918B6E79-4BEB-4AC1-B623-4366D3DBA7C7}"/>
    <cellStyle name="Normal" xfId="0" builtinId="0"/>
    <cellStyle name="Normal 2" xfId="1" xr:uid="{CFE365F1-3DF6-4842-8039-A5579BBB88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1B075-1769-42FE-8CFF-457D5C8D7069}">
  <dimension ref="A1:L91"/>
  <sheetViews>
    <sheetView zoomScale="130" zoomScaleNormal="130" workbookViewId="0">
      <pane ySplit="2" topLeftCell="A83" activePane="bottomLeft" state="frozen"/>
      <selection pane="bottomLeft" activeCell="B89" sqref="B89"/>
    </sheetView>
  </sheetViews>
  <sheetFormatPr defaultColWidth="12.5703125" defaultRowHeight="15.75" x14ac:dyDescent="0.25"/>
  <cols>
    <col min="1" max="1" width="10.85546875" style="4" customWidth="1"/>
    <col min="2" max="2" width="29.5703125" style="49" bestFit="1" customWidth="1"/>
    <col min="3" max="3" width="12.28515625" style="49" bestFit="1" customWidth="1"/>
    <col min="4" max="4" width="14.140625" style="49" bestFit="1" customWidth="1"/>
    <col min="5" max="7" width="7.28515625" style="49" customWidth="1"/>
    <col min="8" max="8" width="19.85546875" style="4" bestFit="1" customWidth="1"/>
    <col min="9" max="11" width="12" style="58" customWidth="1"/>
    <col min="12" max="12" width="22.140625" style="58" bestFit="1" customWidth="1"/>
    <col min="13" max="16384" width="12.5703125" style="4"/>
  </cols>
  <sheetData>
    <row r="1" spans="1:12" ht="16.5" thickBot="1" x14ac:dyDescent="0.3">
      <c r="E1" s="50" t="s">
        <v>93</v>
      </c>
      <c r="F1" s="50"/>
      <c r="G1" s="50"/>
      <c r="I1" s="63" t="s">
        <v>47</v>
      </c>
      <c r="J1" s="64"/>
      <c r="K1" s="63" t="s">
        <v>92</v>
      </c>
      <c r="L1" s="64"/>
    </row>
    <row r="2" spans="1:12" ht="35.1" customHeight="1" thickBot="1" x14ac:dyDescent="0.3">
      <c r="A2" s="1" t="s">
        <v>223</v>
      </c>
      <c r="B2" s="51" t="s">
        <v>1</v>
      </c>
      <c r="C2" s="51" t="s">
        <v>6</v>
      </c>
      <c r="D2" s="51" t="s">
        <v>2</v>
      </c>
      <c r="E2" s="51" t="s">
        <v>94</v>
      </c>
      <c r="F2" s="51" t="s">
        <v>95</v>
      </c>
      <c r="G2" s="51" t="s">
        <v>96</v>
      </c>
      <c r="H2" s="53" t="s">
        <v>97</v>
      </c>
      <c r="I2" s="52" t="s">
        <v>5</v>
      </c>
      <c r="J2" s="52" t="s">
        <v>4</v>
      </c>
      <c r="K2" s="52" t="s">
        <v>5</v>
      </c>
      <c r="L2" s="52" t="s">
        <v>4</v>
      </c>
    </row>
    <row r="3" spans="1:12" ht="23.1" customHeight="1" x14ac:dyDescent="0.25">
      <c r="A3" s="5">
        <v>1</v>
      </c>
      <c r="B3" s="6" t="s">
        <v>98</v>
      </c>
      <c r="C3" s="10" t="s">
        <v>99</v>
      </c>
      <c r="D3" s="6" t="s">
        <v>8</v>
      </c>
      <c r="E3" s="6">
        <v>12</v>
      </c>
      <c r="F3" s="6">
        <v>6</v>
      </c>
      <c r="G3" s="6">
        <v>2.5</v>
      </c>
      <c r="H3" s="55" t="s">
        <v>100</v>
      </c>
      <c r="I3" s="54">
        <v>550</v>
      </c>
      <c r="J3" s="54" t="s">
        <v>47</v>
      </c>
      <c r="K3" s="54">
        <v>700</v>
      </c>
      <c r="L3" s="54" t="s">
        <v>92</v>
      </c>
    </row>
    <row r="4" spans="1:12" ht="23.1" customHeight="1" x14ac:dyDescent="0.25">
      <c r="A4" s="11">
        <v>2</v>
      </c>
      <c r="B4" s="6" t="s">
        <v>101</v>
      </c>
      <c r="C4" s="10" t="s">
        <v>99</v>
      </c>
      <c r="D4" s="6" t="s">
        <v>8</v>
      </c>
      <c r="E4" s="6">
        <v>12</v>
      </c>
      <c r="F4" s="6">
        <v>6</v>
      </c>
      <c r="G4" s="6">
        <v>2.5</v>
      </c>
      <c r="H4" s="55" t="s">
        <v>100</v>
      </c>
      <c r="I4" s="54">
        <v>550</v>
      </c>
      <c r="J4" s="54" t="s">
        <v>47</v>
      </c>
      <c r="K4" s="54">
        <v>700</v>
      </c>
      <c r="L4" s="54" t="s">
        <v>92</v>
      </c>
    </row>
    <row r="5" spans="1:12" ht="23.1" customHeight="1" x14ac:dyDescent="0.25">
      <c r="A5" s="11">
        <v>3</v>
      </c>
      <c r="B5" s="59" t="s">
        <v>102</v>
      </c>
      <c r="C5" s="60" t="s">
        <v>99</v>
      </c>
      <c r="D5" s="59" t="s">
        <v>8</v>
      </c>
      <c r="E5" s="6">
        <v>14</v>
      </c>
      <c r="F5" s="6">
        <v>8</v>
      </c>
      <c r="G5" s="6">
        <v>2.5</v>
      </c>
      <c r="H5" s="55" t="s">
        <v>100</v>
      </c>
      <c r="I5" s="9">
        <v>700</v>
      </c>
      <c r="J5" s="9" t="s">
        <v>47</v>
      </c>
      <c r="K5" s="9">
        <v>900</v>
      </c>
      <c r="L5" s="9" t="s">
        <v>92</v>
      </c>
    </row>
    <row r="6" spans="1:12" ht="23.1" customHeight="1" x14ac:dyDescent="0.25">
      <c r="A6" s="11">
        <v>4</v>
      </c>
      <c r="B6" s="6" t="s">
        <v>103</v>
      </c>
      <c r="C6" s="56" t="s">
        <v>104</v>
      </c>
      <c r="D6" s="6" t="s">
        <v>8</v>
      </c>
      <c r="E6" s="6">
        <v>10</v>
      </c>
      <c r="F6" s="6">
        <v>5</v>
      </c>
      <c r="G6" s="6">
        <v>5</v>
      </c>
      <c r="H6" s="55" t="s">
        <v>221</v>
      </c>
      <c r="I6" s="54">
        <v>550</v>
      </c>
      <c r="J6" s="54" t="s">
        <v>47</v>
      </c>
      <c r="K6" s="54">
        <v>700</v>
      </c>
      <c r="L6" s="54" t="s">
        <v>92</v>
      </c>
    </row>
    <row r="7" spans="1:12" ht="23.1" customHeight="1" x14ac:dyDescent="0.25">
      <c r="A7" s="11">
        <v>5</v>
      </c>
      <c r="B7" s="6" t="s">
        <v>105</v>
      </c>
      <c r="C7" s="56" t="s">
        <v>104</v>
      </c>
      <c r="D7" s="6" t="s">
        <v>8</v>
      </c>
      <c r="E7" s="6">
        <v>10</v>
      </c>
      <c r="F7" s="6">
        <v>5</v>
      </c>
      <c r="G7" s="6">
        <v>7</v>
      </c>
      <c r="H7" s="55" t="s">
        <v>226</v>
      </c>
      <c r="I7" s="54">
        <v>550</v>
      </c>
      <c r="J7" s="54" t="s">
        <v>47</v>
      </c>
      <c r="K7" s="54">
        <v>700</v>
      </c>
      <c r="L7" s="54" t="s">
        <v>92</v>
      </c>
    </row>
    <row r="8" spans="1:12" ht="23.1" customHeight="1" x14ac:dyDescent="0.25">
      <c r="A8" s="11">
        <v>6</v>
      </c>
      <c r="B8" s="6" t="s">
        <v>106</v>
      </c>
      <c r="C8" s="56" t="s">
        <v>104</v>
      </c>
      <c r="D8" s="6" t="s">
        <v>8</v>
      </c>
      <c r="E8" s="6">
        <v>5</v>
      </c>
      <c r="F8" s="6">
        <v>5</v>
      </c>
      <c r="G8" s="6">
        <v>4</v>
      </c>
      <c r="H8" s="55" t="s">
        <v>107</v>
      </c>
      <c r="I8" s="54">
        <v>380</v>
      </c>
      <c r="J8" s="54" t="s">
        <v>47</v>
      </c>
      <c r="K8" s="54">
        <v>500</v>
      </c>
      <c r="L8" s="54" t="s">
        <v>92</v>
      </c>
    </row>
    <row r="9" spans="1:12" ht="23.1" customHeight="1" x14ac:dyDescent="0.25">
      <c r="A9" s="11">
        <v>7</v>
      </c>
      <c r="B9" s="6" t="s">
        <v>108</v>
      </c>
      <c r="C9" s="56" t="s">
        <v>104</v>
      </c>
      <c r="D9" s="6" t="s">
        <v>8</v>
      </c>
      <c r="E9" s="6">
        <v>5</v>
      </c>
      <c r="F9" s="6">
        <v>5</v>
      </c>
      <c r="G9" s="6">
        <v>4</v>
      </c>
      <c r="H9" s="55" t="s">
        <v>107</v>
      </c>
      <c r="I9" s="54">
        <v>380</v>
      </c>
      <c r="J9" s="54" t="s">
        <v>47</v>
      </c>
      <c r="K9" s="54">
        <v>500</v>
      </c>
      <c r="L9" s="54" t="s">
        <v>92</v>
      </c>
    </row>
    <row r="10" spans="1:12" ht="23.1" customHeight="1" x14ac:dyDescent="0.25">
      <c r="A10" s="11">
        <v>8</v>
      </c>
      <c r="B10" s="6" t="s">
        <v>109</v>
      </c>
      <c r="C10" s="56" t="s">
        <v>104</v>
      </c>
      <c r="D10" s="6" t="s">
        <v>8</v>
      </c>
      <c r="E10" s="6">
        <v>6</v>
      </c>
      <c r="F10" s="6">
        <v>5</v>
      </c>
      <c r="G10" s="6">
        <v>4</v>
      </c>
      <c r="H10" s="55" t="s">
        <v>107</v>
      </c>
      <c r="I10" s="54">
        <v>380</v>
      </c>
      <c r="J10" s="54" t="s">
        <v>47</v>
      </c>
      <c r="K10" s="54">
        <v>500</v>
      </c>
      <c r="L10" s="54" t="s">
        <v>92</v>
      </c>
    </row>
    <row r="11" spans="1:12" ht="23.1" customHeight="1" x14ac:dyDescent="0.25">
      <c r="A11" s="11">
        <v>9</v>
      </c>
      <c r="B11" s="6" t="s">
        <v>110</v>
      </c>
      <c r="C11" s="56" t="s">
        <v>104</v>
      </c>
      <c r="D11" s="6" t="s">
        <v>8</v>
      </c>
      <c r="E11" s="6">
        <v>5</v>
      </c>
      <c r="F11" s="6">
        <v>5</v>
      </c>
      <c r="G11" s="6">
        <v>4</v>
      </c>
      <c r="H11" s="55" t="s">
        <v>107</v>
      </c>
      <c r="I11" s="54">
        <v>380</v>
      </c>
      <c r="J11" s="54" t="s">
        <v>47</v>
      </c>
      <c r="K11" s="54">
        <v>500</v>
      </c>
      <c r="L11" s="54" t="s">
        <v>92</v>
      </c>
    </row>
    <row r="12" spans="1:12" ht="23.1" customHeight="1" x14ac:dyDescent="0.25">
      <c r="A12" s="11">
        <v>10</v>
      </c>
      <c r="B12" s="6" t="s">
        <v>111</v>
      </c>
      <c r="C12" s="56" t="s">
        <v>104</v>
      </c>
      <c r="D12" s="6" t="s">
        <v>8</v>
      </c>
      <c r="E12" s="6">
        <v>5</v>
      </c>
      <c r="F12" s="6">
        <v>5</v>
      </c>
      <c r="G12" s="6">
        <v>4</v>
      </c>
      <c r="H12" s="55" t="s">
        <v>107</v>
      </c>
      <c r="I12" s="54">
        <v>380</v>
      </c>
      <c r="J12" s="54" t="s">
        <v>47</v>
      </c>
      <c r="K12" s="54">
        <v>500</v>
      </c>
      <c r="L12" s="54" t="s">
        <v>92</v>
      </c>
    </row>
    <row r="13" spans="1:12" ht="23.1" customHeight="1" x14ac:dyDescent="0.25">
      <c r="A13" s="11">
        <v>11</v>
      </c>
      <c r="B13" s="6" t="s">
        <v>112</v>
      </c>
      <c r="C13" s="10" t="s">
        <v>99</v>
      </c>
      <c r="D13" s="6" t="s">
        <v>8</v>
      </c>
      <c r="E13" s="6">
        <v>12</v>
      </c>
      <c r="F13" s="6">
        <v>6</v>
      </c>
      <c r="G13" s="6">
        <v>2.5</v>
      </c>
      <c r="H13" s="55" t="s">
        <v>100</v>
      </c>
      <c r="I13" s="54">
        <v>550</v>
      </c>
      <c r="J13" s="54" t="s">
        <v>47</v>
      </c>
      <c r="K13" s="54">
        <v>700</v>
      </c>
      <c r="L13" s="54" t="s">
        <v>92</v>
      </c>
    </row>
    <row r="14" spans="1:12" ht="23.1" customHeight="1" x14ac:dyDescent="0.25">
      <c r="A14" s="11">
        <v>12</v>
      </c>
      <c r="B14" s="6" t="s">
        <v>113</v>
      </c>
      <c r="C14" s="10" t="s">
        <v>99</v>
      </c>
      <c r="D14" s="6" t="s">
        <v>8</v>
      </c>
      <c r="E14" s="6">
        <v>12</v>
      </c>
      <c r="F14" s="6">
        <v>6</v>
      </c>
      <c r="G14" s="6">
        <v>2.5</v>
      </c>
      <c r="H14" s="55" t="s">
        <v>100</v>
      </c>
      <c r="I14" s="54">
        <v>550</v>
      </c>
      <c r="J14" s="54" t="s">
        <v>47</v>
      </c>
      <c r="K14" s="54">
        <v>700</v>
      </c>
      <c r="L14" s="54" t="s">
        <v>92</v>
      </c>
    </row>
    <row r="15" spans="1:12" ht="23.1" customHeight="1" x14ac:dyDescent="0.25">
      <c r="A15" s="11">
        <v>13</v>
      </c>
      <c r="B15" s="6" t="s">
        <v>114</v>
      </c>
      <c r="C15" s="10" t="s">
        <v>99</v>
      </c>
      <c r="D15" s="6" t="s">
        <v>8</v>
      </c>
      <c r="E15" s="6">
        <v>10</v>
      </c>
      <c r="F15" s="6">
        <v>5</v>
      </c>
      <c r="G15" s="6">
        <v>2.5</v>
      </c>
      <c r="H15" s="55" t="s">
        <v>100</v>
      </c>
      <c r="I15" s="54">
        <v>550</v>
      </c>
      <c r="J15" s="54" t="s">
        <v>47</v>
      </c>
      <c r="K15" s="54">
        <v>700</v>
      </c>
      <c r="L15" s="54" t="s">
        <v>92</v>
      </c>
    </row>
    <row r="16" spans="1:12" ht="23.1" customHeight="1" x14ac:dyDescent="0.25">
      <c r="A16" s="11">
        <v>14</v>
      </c>
      <c r="B16" s="6" t="s">
        <v>115</v>
      </c>
      <c r="C16" s="56" t="s">
        <v>104</v>
      </c>
      <c r="D16" s="6" t="s">
        <v>8</v>
      </c>
      <c r="E16" s="6">
        <v>10</v>
      </c>
      <c r="F16" s="6">
        <v>5.5</v>
      </c>
      <c r="G16" s="6">
        <v>7</v>
      </c>
      <c r="H16" s="55" t="s">
        <v>226</v>
      </c>
      <c r="I16" s="54">
        <v>550</v>
      </c>
      <c r="J16" s="54" t="s">
        <v>47</v>
      </c>
      <c r="K16" s="54">
        <v>700</v>
      </c>
      <c r="L16" s="54" t="s">
        <v>92</v>
      </c>
    </row>
    <row r="17" spans="1:12" ht="23.1" customHeight="1" x14ac:dyDescent="0.25">
      <c r="A17" s="11">
        <v>15</v>
      </c>
      <c r="B17" s="6" t="s">
        <v>116</v>
      </c>
      <c r="C17" s="56" t="s">
        <v>104</v>
      </c>
      <c r="D17" s="6" t="s">
        <v>8</v>
      </c>
      <c r="E17" s="6">
        <v>9</v>
      </c>
      <c r="F17" s="6">
        <v>6.5</v>
      </c>
      <c r="G17" s="6">
        <v>7</v>
      </c>
      <c r="H17" s="55" t="s">
        <v>226</v>
      </c>
      <c r="I17" s="54">
        <v>550</v>
      </c>
      <c r="J17" s="54" t="s">
        <v>47</v>
      </c>
      <c r="K17" s="54">
        <v>700</v>
      </c>
      <c r="L17" s="54" t="s">
        <v>92</v>
      </c>
    </row>
    <row r="18" spans="1:12" ht="23.1" customHeight="1" x14ac:dyDescent="0.25">
      <c r="A18" s="11">
        <v>16</v>
      </c>
      <c r="B18" s="6" t="s">
        <v>117</v>
      </c>
      <c r="C18" s="56" t="s">
        <v>104</v>
      </c>
      <c r="D18" s="6" t="s">
        <v>8</v>
      </c>
      <c r="E18" s="6">
        <v>4</v>
      </c>
      <c r="F18" s="6">
        <v>3</v>
      </c>
      <c r="G18" s="6">
        <v>3</v>
      </c>
      <c r="H18" s="55" t="s">
        <v>118</v>
      </c>
      <c r="I18" s="54">
        <v>380</v>
      </c>
      <c r="J18" s="54" t="s">
        <v>47</v>
      </c>
      <c r="K18" s="54">
        <v>500</v>
      </c>
      <c r="L18" s="54" t="s">
        <v>92</v>
      </c>
    </row>
    <row r="19" spans="1:12" ht="23.1" customHeight="1" x14ac:dyDescent="0.25">
      <c r="A19" s="11">
        <v>17</v>
      </c>
      <c r="B19" s="6" t="s">
        <v>119</v>
      </c>
      <c r="C19" s="56" t="s">
        <v>104</v>
      </c>
      <c r="D19" s="6" t="s">
        <v>8</v>
      </c>
      <c r="E19" s="6">
        <v>4</v>
      </c>
      <c r="F19" s="6">
        <v>4</v>
      </c>
      <c r="G19" s="6">
        <v>3</v>
      </c>
      <c r="H19" s="55" t="s">
        <v>118</v>
      </c>
      <c r="I19" s="54">
        <v>380</v>
      </c>
      <c r="J19" s="54" t="s">
        <v>47</v>
      </c>
      <c r="K19" s="54">
        <v>500</v>
      </c>
      <c r="L19" s="54" t="s">
        <v>92</v>
      </c>
    </row>
    <row r="20" spans="1:12" ht="23.1" customHeight="1" x14ac:dyDescent="0.25">
      <c r="A20" s="11">
        <v>18</v>
      </c>
      <c r="B20" s="6" t="s">
        <v>120</v>
      </c>
      <c r="C20" s="56" t="s">
        <v>104</v>
      </c>
      <c r="D20" s="6" t="s">
        <v>8</v>
      </c>
      <c r="E20" s="6">
        <v>4</v>
      </c>
      <c r="F20" s="6">
        <v>3</v>
      </c>
      <c r="G20" s="6">
        <v>3</v>
      </c>
      <c r="H20" s="55" t="s">
        <v>118</v>
      </c>
      <c r="I20" s="54">
        <v>380</v>
      </c>
      <c r="J20" s="54" t="s">
        <v>47</v>
      </c>
      <c r="K20" s="54">
        <v>500</v>
      </c>
      <c r="L20" s="54" t="s">
        <v>92</v>
      </c>
    </row>
    <row r="21" spans="1:12" ht="23.1" customHeight="1" x14ac:dyDescent="0.25">
      <c r="A21" s="11">
        <v>19</v>
      </c>
      <c r="B21" s="6" t="s">
        <v>121</v>
      </c>
      <c r="C21" s="10" t="s">
        <v>99</v>
      </c>
      <c r="D21" s="6" t="s">
        <v>8</v>
      </c>
      <c r="E21" s="6">
        <v>10</v>
      </c>
      <c r="F21" s="6">
        <v>5</v>
      </c>
      <c r="G21" s="6">
        <v>2.5</v>
      </c>
      <c r="H21" s="55" t="s">
        <v>100</v>
      </c>
      <c r="I21" s="54">
        <v>550</v>
      </c>
      <c r="J21" s="54" t="s">
        <v>47</v>
      </c>
      <c r="K21" s="54">
        <v>700</v>
      </c>
      <c r="L21" s="54" t="s">
        <v>92</v>
      </c>
    </row>
    <row r="22" spans="1:12" ht="23.1" customHeight="1" x14ac:dyDescent="0.25">
      <c r="A22" s="11">
        <v>20</v>
      </c>
      <c r="B22" s="6" t="s">
        <v>122</v>
      </c>
      <c r="C22" s="10" t="s">
        <v>99</v>
      </c>
      <c r="D22" s="6" t="s">
        <v>8</v>
      </c>
      <c r="E22" s="6">
        <v>12</v>
      </c>
      <c r="F22" s="6">
        <v>6</v>
      </c>
      <c r="G22" s="6">
        <v>2.5</v>
      </c>
      <c r="H22" s="55" t="s">
        <v>100</v>
      </c>
      <c r="I22" s="54">
        <v>550</v>
      </c>
      <c r="J22" s="54" t="s">
        <v>47</v>
      </c>
      <c r="K22" s="54">
        <v>700</v>
      </c>
      <c r="L22" s="54" t="s">
        <v>92</v>
      </c>
    </row>
    <row r="23" spans="1:12" ht="23.1" customHeight="1" x14ac:dyDescent="0.25">
      <c r="A23" s="11">
        <v>21</v>
      </c>
      <c r="B23" s="6" t="s">
        <v>123</v>
      </c>
      <c r="C23" s="56" t="s">
        <v>104</v>
      </c>
      <c r="D23" s="6" t="s">
        <v>8</v>
      </c>
      <c r="E23" s="6">
        <v>8</v>
      </c>
      <c r="F23" s="6">
        <v>5.5</v>
      </c>
      <c r="G23" s="6">
        <v>7</v>
      </c>
      <c r="H23" s="55" t="s">
        <v>226</v>
      </c>
      <c r="I23" s="54">
        <v>550</v>
      </c>
      <c r="J23" s="54" t="s">
        <v>47</v>
      </c>
      <c r="K23" s="54">
        <v>700</v>
      </c>
      <c r="L23" s="54" t="s">
        <v>92</v>
      </c>
    </row>
    <row r="24" spans="1:12" ht="23.1" customHeight="1" x14ac:dyDescent="0.25">
      <c r="A24" s="11">
        <v>22</v>
      </c>
      <c r="B24" s="6" t="s">
        <v>124</v>
      </c>
      <c r="C24" s="56" t="s">
        <v>104</v>
      </c>
      <c r="D24" s="6" t="s">
        <v>8</v>
      </c>
      <c r="E24" s="6">
        <v>10</v>
      </c>
      <c r="F24" s="6">
        <v>4.5</v>
      </c>
      <c r="G24" s="6">
        <v>9</v>
      </c>
      <c r="H24" s="55" t="s">
        <v>226</v>
      </c>
      <c r="I24" s="54">
        <v>700</v>
      </c>
      <c r="J24" s="54" t="s">
        <v>47</v>
      </c>
      <c r="K24" s="54">
        <v>900</v>
      </c>
      <c r="L24" s="54" t="s">
        <v>92</v>
      </c>
    </row>
    <row r="25" spans="1:12" ht="23.1" customHeight="1" x14ac:dyDescent="0.25">
      <c r="A25" s="11">
        <v>23</v>
      </c>
      <c r="B25" s="6" t="s">
        <v>125</v>
      </c>
      <c r="C25" s="56" t="s">
        <v>104</v>
      </c>
      <c r="D25" s="6" t="s">
        <v>8</v>
      </c>
      <c r="E25" s="6">
        <v>8</v>
      </c>
      <c r="F25" s="6">
        <v>5</v>
      </c>
      <c r="G25" s="6">
        <v>7</v>
      </c>
      <c r="H25" s="55" t="s">
        <v>226</v>
      </c>
      <c r="I25" s="54">
        <v>550</v>
      </c>
      <c r="J25" s="54" t="s">
        <v>47</v>
      </c>
      <c r="K25" s="54">
        <v>700</v>
      </c>
      <c r="L25" s="54" t="s">
        <v>92</v>
      </c>
    </row>
    <row r="26" spans="1:12" ht="23.1" customHeight="1" x14ac:dyDescent="0.25">
      <c r="A26" s="11">
        <v>24</v>
      </c>
      <c r="B26" s="6" t="s">
        <v>126</v>
      </c>
      <c r="C26" s="56" t="s">
        <v>104</v>
      </c>
      <c r="D26" s="6" t="s">
        <v>8</v>
      </c>
      <c r="E26" s="6">
        <v>5</v>
      </c>
      <c r="F26" s="6">
        <v>5</v>
      </c>
      <c r="G26" s="6">
        <v>4</v>
      </c>
      <c r="H26" s="55" t="s">
        <v>107</v>
      </c>
      <c r="I26" s="54">
        <v>380</v>
      </c>
      <c r="J26" s="54" t="s">
        <v>47</v>
      </c>
      <c r="K26" s="54">
        <v>500</v>
      </c>
      <c r="L26" s="54" t="s">
        <v>92</v>
      </c>
    </row>
    <row r="27" spans="1:12" ht="23.1" customHeight="1" x14ac:dyDescent="0.25">
      <c r="A27" s="11">
        <v>25</v>
      </c>
      <c r="B27" s="6" t="s">
        <v>127</v>
      </c>
      <c r="C27" s="56" t="s">
        <v>104</v>
      </c>
      <c r="D27" s="6" t="s">
        <v>8</v>
      </c>
      <c r="E27" s="6">
        <v>5</v>
      </c>
      <c r="F27" s="6">
        <v>4.4000000000000004</v>
      </c>
      <c r="G27" s="6">
        <v>4</v>
      </c>
      <c r="H27" s="55" t="s">
        <v>107</v>
      </c>
      <c r="I27" s="54">
        <v>380</v>
      </c>
      <c r="J27" s="54" t="s">
        <v>47</v>
      </c>
      <c r="K27" s="54">
        <v>500</v>
      </c>
      <c r="L27" s="54" t="s">
        <v>92</v>
      </c>
    </row>
    <row r="28" spans="1:12" ht="23.1" customHeight="1" x14ac:dyDescent="0.25">
      <c r="A28" s="11">
        <v>26</v>
      </c>
      <c r="B28" s="6" t="s">
        <v>128</v>
      </c>
      <c r="C28" s="56" t="s">
        <v>104</v>
      </c>
      <c r="D28" s="6" t="s">
        <v>8</v>
      </c>
      <c r="E28" s="6">
        <v>5</v>
      </c>
      <c r="F28" s="6">
        <v>5</v>
      </c>
      <c r="G28" s="6">
        <v>5</v>
      </c>
      <c r="H28" s="55" t="s">
        <v>107</v>
      </c>
      <c r="I28" s="54">
        <v>380</v>
      </c>
      <c r="J28" s="54" t="s">
        <v>47</v>
      </c>
      <c r="K28" s="54">
        <v>500</v>
      </c>
      <c r="L28" s="54" t="s">
        <v>92</v>
      </c>
    </row>
    <row r="29" spans="1:12" ht="23.1" customHeight="1" x14ac:dyDescent="0.25">
      <c r="A29" s="11">
        <v>27</v>
      </c>
      <c r="B29" s="6" t="s">
        <v>129</v>
      </c>
      <c r="C29" s="56" t="s">
        <v>104</v>
      </c>
      <c r="D29" s="6" t="s">
        <v>8</v>
      </c>
      <c r="E29" s="6">
        <v>5</v>
      </c>
      <c r="F29" s="6">
        <v>5</v>
      </c>
      <c r="G29" s="6">
        <v>5</v>
      </c>
      <c r="H29" s="55" t="s">
        <v>107</v>
      </c>
      <c r="I29" s="54">
        <v>380</v>
      </c>
      <c r="J29" s="54" t="s">
        <v>47</v>
      </c>
      <c r="K29" s="54">
        <v>500</v>
      </c>
      <c r="L29" s="54" t="s">
        <v>92</v>
      </c>
    </row>
    <row r="30" spans="1:12" ht="23.1" customHeight="1" x14ac:dyDescent="0.25">
      <c r="A30" s="11">
        <v>28</v>
      </c>
      <c r="B30" s="6" t="s">
        <v>130</v>
      </c>
      <c r="C30" s="56" t="s">
        <v>104</v>
      </c>
      <c r="D30" s="6" t="s">
        <v>8</v>
      </c>
      <c r="E30" s="6">
        <v>5</v>
      </c>
      <c r="F30" s="6">
        <v>5</v>
      </c>
      <c r="G30" s="6">
        <v>5</v>
      </c>
      <c r="H30" s="55" t="s">
        <v>107</v>
      </c>
      <c r="I30" s="54">
        <v>380</v>
      </c>
      <c r="J30" s="54" t="s">
        <v>47</v>
      </c>
      <c r="K30" s="54">
        <v>500</v>
      </c>
      <c r="L30" s="54" t="s">
        <v>92</v>
      </c>
    </row>
    <row r="31" spans="1:12" ht="23.1" customHeight="1" x14ac:dyDescent="0.25">
      <c r="A31" s="11">
        <v>29</v>
      </c>
      <c r="B31" s="6" t="s">
        <v>131</v>
      </c>
      <c r="C31" s="56" t="s">
        <v>104</v>
      </c>
      <c r="D31" s="6" t="s">
        <v>8</v>
      </c>
      <c r="E31" s="6">
        <v>5</v>
      </c>
      <c r="F31" s="6">
        <v>5</v>
      </c>
      <c r="G31" s="6">
        <v>5</v>
      </c>
      <c r="H31" s="55" t="s">
        <v>107</v>
      </c>
      <c r="I31" s="54">
        <v>380</v>
      </c>
      <c r="J31" s="54" t="s">
        <v>47</v>
      </c>
      <c r="K31" s="54">
        <v>500</v>
      </c>
      <c r="L31" s="54" t="s">
        <v>92</v>
      </c>
    </row>
    <row r="32" spans="1:12" ht="23.1" customHeight="1" x14ac:dyDescent="0.25">
      <c r="A32" s="11">
        <v>30</v>
      </c>
      <c r="B32" s="6" t="s">
        <v>132</v>
      </c>
      <c r="C32" s="56" t="s">
        <v>104</v>
      </c>
      <c r="D32" s="6" t="s">
        <v>8</v>
      </c>
      <c r="E32" s="6">
        <v>7.5</v>
      </c>
      <c r="F32" s="6">
        <v>4.5</v>
      </c>
      <c r="G32" s="6">
        <v>5</v>
      </c>
      <c r="H32" s="55" t="s">
        <v>107</v>
      </c>
      <c r="I32" s="54">
        <v>380</v>
      </c>
      <c r="J32" s="54" t="s">
        <v>47</v>
      </c>
      <c r="K32" s="54">
        <v>500</v>
      </c>
      <c r="L32" s="54" t="s">
        <v>92</v>
      </c>
    </row>
    <row r="33" spans="1:12" ht="23.1" customHeight="1" x14ac:dyDescent="0.25">
      <c r="A33" s="11">
        <v>31</v>
      </c>
      <c r="B33" s="6" t="s">
        <v>133</v>
      </c>
      <c r="C33" s="56" t="s">
        <v>104</v>
      </c>
      <c r="D33" s="6" t="s">
        <v>8</v>
      </c>
      <c r="E33" s="6">
        <v>7.5</v>
      </c>
      <c r="F33" s="6">
        <v>4</v>
      </c>
      <c r="G33" s="6">
        <v>6</v>
      </c>
      <c r="H33" s="55" t="s">
        <v>226</v>
      </c>
      <c r="I33" s="54">
        <v>550</v>
      </c>
      <c r="J33" s="54" t="s">
        <v>47</v>
      </c>
      <c r="K33" s="54">
        <v>700</v>
      </c>
      <c r="L33" s="54" t="s">
        <v>92</v>
      </c>
    </row>
    <row r="34" spans="1:12" ht="23.1" customHeight="1" x14ac:dyDescent="0.25">
      <c r="A34" s="11">
        <v>32</v>
      </c>
      <c r="B34" s="6" t="s">
        <v>134</v>
      </c>
      <c r="C34" s="56" t="s">
        <v>104</v>
      </c>
      <c r="D34" s="6" t="s">
        <v>8</v>
      </c>
      <c r="E34" s="6">
        <v>10</v>
      </c>
      <c r="F34" s="6">
        <v>5.5</v>
      </c>
      <c r="G34" s="6">
        <v>6</v>
      </c>
      <c r="H34" s="55" t="s">
        <v>226</v>
      </c>
      <c r="I34" s="54">
        <v>550</v>
      </c>
      <c r="J34" s="54" t="s">
        <v>47</v>
      </c>
      <c r="K34" s="54">
        <v>700</v>
      </c>
      <c r="L34" s="54" t="s">
        <v>92</v>
      </c>
    </row>
    <row r="35" spans="1:12" ht="23.1" customHeight="1" x14ac:dyDescent="0.25">
      <c r="A35" s="11">
        <v>33</v>
      </c>
      <c r="B35" s="6" t="s">
        <v>135</v>
      </c>
      <c r="C35" s="56" t="s">
        <v>104</v>
      </c>
      <c r="D35" s="6" t="s">
        <v>8</v>
      </c>
      <c r="E35" s="6">
        <v>10</v>
      </c>
      <c r="F35" s="6">
        <v>5.5</v>
      </c>
      <c r="G35" s="6">
        <v>6</v>
      </c>
      <c r="H35" s="55" t="s">
        <v>226</v>
      </c>
      <c r="I35" s="54">
        <v>550</v>
      </c>
      <c r="J35" s="54" t="s">
        <v>47</v>
      </c>
      <c r="K35" s="54">
        <v>700</v>
      </c>
      <c r="L35" s="54" t="s">
        <v>92</v>
      </c>
    </row>
    <row r="36" spans="1:12" ht="23.1" customHeight="1" x14ac:dyDescent="0.25">
      <c r="A36" s="11">
        <v>34</v>
      </c>
      <c r="B36" s="6" t="s">
        <v>136</v>
      </c>
      <c r="C36" s="57" t="s">
        <v>137</v>
      </c>
      <c r="D36" s="6" t="s">
        <v>8</v>
      </c>
      <c r="E36" s="6">
        <v>9</v>
      </c>
      <c r="F36" s="6">
        <v>5</v>
      </c>
      <c r="G36" s="6">
        <v>7</v>
      </c>
      <c r="H36" s="55" t="s">
        <v>226</v>
      </c>
      <c r="I36" s="54">
        <v>550</v>
      </c>
      <c r="J36" s="54" t="s">
        <v>47</v>
      </c>
      <c r="K36" s="54">
        <v>700</v>
      </c>
      <c r="L36" s="54" t="s">
        <v>92</v>
      </c>
    </row>
    <row r="37" spans="1:12" ht="23.1" customHeight="1" x14ac:dyDescent="0.25">
      <c r="A37" s="11">
        <v>35</v>
      </c>
      <c r="B37" s="6" t="s">
        <v>138</v>
      </c>
      <c r="C37" s="57" t="s">
        <v>137</v>
      </c>
      <c r="D37" s="6" t="s">
        <v>8</v>
      </c>
      <c r="E37" s="6">
        <v>9</v>
      </c>
      <c r="F37" s="6">
        <v>5</v>
      </c>
      <c r="G37" s="6">
        <v>6</v>
      </c>
      <c r="H37" s="55" t="s">
        <v>226</v>
      </c>
      <c r="I37" s="54">
        <v>550</v>
      </c>
      <c r="J37" s="54" t="s">
        <v>47</v>
      </c>
      <c r="K37" s="54">
        <v>700</v>
      </c>
      <c r="L37" s="54" t="s">
        <v>92</v>
      </c>
    </row>
    <row r="38" spans="1:12" ht="23.1" customHeight="1" x14ac:dyDescent="0.25">
      <c r="A38" s="11">
        <v>36</v>
      </c>
      <c r="B38" s="6" t="s">
        <v>139</v>
      </c>
      <c r="C38" s="57" t="s">
        <v>137</v>
      </c>
      <c r="D38" s="6" t="s">
        <v>8</v>
      </c>
      <c r="E38" s="6">
        <v>9</v>
      </c>
      <c r="F38" s="6">
        <v>4.5</v>
      </c>
      <c r="G38" s="6">
        <v>7</v>
      </c>
      <c r="H38" s="55" t="s">
        <v>226</v>
      </c>
      <c r="I38" s="54">
        <v>550</v>
      </c>
      <c r="J38" s="54" t="s">
        <v>47</v>
      </c>
      <c r="K38" s="54">
        <v>700</v>
      </c>
      <c r="L38" s="54" t="s">
        <v>92</v>
      </c>
    </row>
    <row r="39" spans="1:12" ht="23.1" customHeight="1" x14ac:dyDescent="0.25">
      <c r="A39" s="11">
        <v>37</v>
      </c>
      <c r="B39" s="6" t="s">
        <v>140</v>
      </c>
      <c r="C39" s="57" t="s">
        <v>137</v>
      </c>
      <c r="D39" s="6" t="s">
        <v>8</v>
      </c>
      <c r="E39" s="6">
        <v>9</v>
      </c>
      <c r="F39" s="6">
        <v>5</v>
      </c>
      <c r="G39" s="6">
        <v>6</v>
      </c>
      <c r="H39" s="55" t="s">
        <v>226</v>
      </c>
      <c r="I39" s="54">
        <v>550</v>
      </c>
      <c r="J39" s="54" t="s">
        <v>47</v>
      </c>
      <c r="K39" s="54">
        <v>700</v>
      </c>
      <c r="L39" s="54" t="s">
        <v>92</v>
      </c>
    </row>
    <row r="40" spans="1:12" ht="23.1" customHeight="1" x14ac:dyDescent="0.25">
      <c r="A40" s="11">
        <v>38</v>
      </c>
      <c r="B40" s="6" t="s">
        <v>141</v>
      </c>
      <c r="C40" s="57" t="s">
        <v>137</v>
      </c>
      <c r="D40" s="6" t="s">
        <v>8</v>
      </c>
      <c r="E40" s="6">
        <v>9</v>
      </c>
      <c r="F40" s="6">
        <v>4.5</v>
      </c>
      <c r="G40" s="6">
        <v>5</v>
      </c>
      <c r="H40" s="55" t="s">
        <v>226</v>
      </c>
      <c r="I40" s="54">
        <v>550</v>
      </c>
      <c r="J40" s="54" t="s">
        <v>47</v>
      </c>
      <c r="K40" s="54">
        <v>700</v>
      </c>
      <c r="L40" s="54" t="s">
        <v>92</v>
      </c>
    </row>
    <row r="41" spans="1:12" ht="23.1" customHeight="1" x14ac:dyDescent="0.25">
      <c r="A41" s="11">
        <v>39</v>
      </c>
      <c r="B41" s="6" t="s">
        <v>142</v>
      </c>
      <c r="C41" s="57" t="s">
        <v>137</v>
      </c>
      <c r="D41" s="6" t="s">
        <v>8</v>
      </c>
      <c r="E41" s="6">
        <v>10</v>
      </c>
      <c r="F41" s="6">
        <v>5</v>
      </c>
      <c r="G41" s="6">
        <v>5</v>
      </c>
      <c r="H41" s="55" t="s">
        <v>107</v>
      </c>
      <c r="I41" s="54">
        <v>550</v>
      </c>
      <c r="J41" s="54" t="s">
        <v>47</v>
      </c>
      <c r="K41" s="54">
        <v>700</v>
      </c>
      <c r="L41" s="54" t="s">
        <v>92</v>
      </c>
    </row>
    <row r="42" spans="1:12" ht="23.1" customHeight="1" x14ac:dyDescent="0.25">
      <c r="A42" s="11">
        <v>40</v>
      </c>
      <c r="B42" s="6" t="s">
        <v>143</v>
      </c>
      <c r="C42" s="57" t="s">
        <v>137</v>
      </c>
      <c r="D42" s="6" t="s">
        <v>8</v>
      </c>
      <c r="E42" s="6">
        <v>13</v>
      </c>
      <c r="F42" s="6">
        <v>6</v>
      </c>
      <c r="G42" s="6">
        <v>5</v>
      </c>
      <c r="H42" s="55" t="s">
        <v>107</v>
      </c>
      <c r="I42" s="54">
        <v>550</v>
      </c>
      <c r="J42" s="54" t="s">
        <v>47</v>
      </c>
      <c r="K42" s="54">
        <v>700</v>
      </c>
      <c r="L42" s="54" t="s">
        <v>92</v>
      </c>
    </row>
    <row r="43" spans="1:12" ht="23.1" customHeight="1" x14ac:dyDescent="0.25">
      <c r="A43" s="11">
        <v>41</v>
      </c>
      <c r="B43" s="6" t="s">
        <v>144</v>
      </c>
      <c r="C43" s="57" t="s">
        <v>137</v>
      </c>
      <c r="D43" s="6" t="s">
        <v>8</v>
      </c>
      <c r="E43" s="6">
        <v>9</v>
      </c>
      <c r="F43" s="6">
        <v>5</v>
      </c>
      <c r="G43" s="6">
        <v>6</v>
      </c>
      <c r="H43" s="55" t="s">
        <v>107</v>
      </c>
      <c r="I43" s="54">
        <v>450</v>
      </c>
      <c r="J43" s="54" t="s">
        <v>47</v>
      </c>
      <c r="K43" s="54">
        <v>650</v>
      </c>
      <c r="L43" s="54" t="s">
        <v>92</v>
      </c>
    </row>
    <row r="44" spans="1:12" ht="23.1" customHeight="1" x14ac:dyDescent="0.25">
      <c r="A44" s="11">
        <v>42</v>
      </c>
      <c r="B44" s="6" t="s">
        <v>145</v>
      </c>
      <c r="C44" s="57" t="s">
        <v>137</v>
      </c>
      <c r="D44" s="6" t="s">
        <v>8</v>
      </c>
      <c r="E44" s="6">
        <v>7</v>
      </c>
      <c r="F44" s="6">
        <v>6</v>
      </c>
      <c r="G44" s="6">
        <v>6</v>
      </c>
      <c r="H44" s="55" t="s">
        <v>107</v>
      </c>
      <c r="I44" s="54">
        <v>450</v>
      </c>
      <c r="J44" s="54" t="s">
        <v>47</v>
      </c>
      <c r="K44" s="54">
        <v>650</v>
      </c>
      <c r="L44" s="54" t="s">
        <v>92</v>
      </c>
    </row>
    <row r="45" spans="1:12" ht="23.1" customHeight="1" x14ac:dyDescent="0.25">
      <c r="A45" s="11">
        <v>43</v>
      </c>
      <c r="B45" s="6" t="s">
        <v>146</v>
      </c>
      <c r="C45" s="57" t="s">
        <v>137</v>
      </c>
      <c r="D45" s="6" t="s">
        <v>8</v>
      </c>
      <c r="E45" s="6">
        <v>10</v>
      </c>
      <c r="F45" s="6">
        <v>5</v>
      </c>
      <c r="G45" s="6">
        <v>8</v>
      </c>
      <c r="H45" s="55" t="s">
        <v>226</v>
      </c>
      <c r="I45" s="54">
        <v>550</v>
      </c>
      <c r="J45" s="54" t="s">
        <v>47</v>
      </c>
      <c r="K45" s="54">
        <v>700</v>
      </c>
      <c r="L45" s="54" t="s">
        <v>92</v>
      </c>
    </row>
    <row r="46" spans="1:12" ht="23.1" customHeight="1" x14ac:dyDescent="0.25">
      <c r="A46" s="11">
        <v>44</v>
      </c>
      <c r="B46" s="6" t="s">
        <v>147</v>
      </c>
      <c r="C46" s="57" t="s">
        <v>137</v>
      </c>
      <c r="D46" s="6" t="s">
        <v>8</v>
      </c>
      <c r="E46" s="6">
        <v>9</v>
      </c>
      <c r="F46" s="6">
        <v>5</v>
      </c>
      <c r="G46" s="6">
        <v>6</v>
      </c>
      <c r="H46" s="55" t="s">
        <v>226</v>
      </c>
      <c r="I46" s="54">
        <v>550</v>
      </c>
      <c r="J46" s="54" t="s">
        <v>47</v>
      </c>
      <c r="K46" s="54">
        <v>700</v>
      </c>
      <c r="L46" s="54" t="s">
        <v>92</v>
      </c>
    </row>
    <row r="47" spans="1:12" ht="23.1" customHeight="1" x14ac:dyDescent="0.25">
      <c r="A47" s="11">
        <v>45</v>
      </c>
      <c r="B47" s="6" t="s">
        <v>148</v>
      </c>
      <c r="C47" s="56" t="s">
        <v>104</v>
      </c>
      <c r="D47" s="6" t="s">
        <v>8</v>
      </c>
      <c r="E47" s="6">
        <v>10</v>
      </c>
      <c r="F47" s="6">
        <v>6</v>
      </c>
      <c r="G47" s="6">
        <v>7</v>
      </c>
      <c r="H47" s="55" t="s">
        <v>226</v>
      </c>
      <c r="I47" s="54">
        <v>550</v>
      </c>
      <c r="J47" s="54" t="s">
        <v>47</v>
      </c>
      <c r="K47" s="54">
        <v>700</v>
      </c>
      <c r="L47" s="54" t="s">
        <v>92</v>
      </c>
    </row>
    <row r="48" spans="1:12" ht="23.1" customHeight="1" x14ac:dyDescent="0.25">
      <c r="A48" s="11">
        <v>46</v>
      </c>
      <c r="B48" s="6" t="s">
        <v>149</v>
      </c>
      <c r="C48" s="57" t="s">
        <v>137</v>
      </c>
      <c r="D48" s="6" t="s">
        <v>8</v>
      </c>
      <c r="E48" s="6">
        <v>10</v>
      </c>
      <c r="F48" s="6">
        <v>5</v>
      </c>
      <c r="G48" s="6">
        <v>7</v>
      </c>
      <c r="H48" s="55" t="s">
        <v>226</v>
      </c>
      <c r="I48" s="54">
        <v>550</v>
      </c>
      <c r="J48" s="54" t="s">
        <v>47</v>
      </c>
      <c r="K48" s="54">
        <v>700</v>
      </c>
      <c r="L48" s="54" t="s">
        <v>92</v>
      </c>
    </row>
    <row r="49" spans="1:12" ht="23.1" customHeight="1" x14ac:dyDescent="0.25">
      <c r="A49" s="11">
        <v>47</v>
      </c>
      <c r="B49" s="6" t="s">
        <v>150</v>
      </c>
      <c r="C49" s="57" t="s">
        <v>137</v>
      </c>
      <c r="D49" s="6" t="s">
        <v>8</v>
      </c>
      <c r="E49" s="6">
        <v>12</v>
      </c>
      <c r="F49" s="6">
        <v>6</v>
      </c>
      <c r="G49" s="6">
        <v>7</v>
      </c>
      <c r="H49" s="55" t="s">
        <v>226</v>
      </c>
      <c r="I49" s="54">
        <v>650</v>
      </c>
      <c r="J49" s="54" t="s">
        <v>47</v>
      </c>
      <c r="K49" s="54">
        <v>800</v>
      </c>
      <c r="L49" s="54" t="s">
        <v>92</v>
      </c>
    </row>
    <row r="50" spans="1:12" ht="23.1" customHeight="1" x14ac:dyDescent="0.25">
      <c r="A50" s="11">
        <v>48</v>
      </c>
      <c r="B50" s="6" t="s">
        <v>151</v>
      </c>
      <c r="C50" s="57" t="s">
        <v>137</v>
      </c>
      <c r="D50" s="6" t="s">
        <v>8</v>
      </c>
      <c r="E50" s="6">
        <v>13</v>
      </c>
      <c r="F50" s="6">
        <v>6</v>
      </c>
      <c r="G50" s="6">
        <v>7</v>
      </c>
      <c r="H50" s="55" t="s">
        <v>226</v>
      </c>
      <c r="I50" s="54">
        <v>650</v>
      </c>
      <c r="J50" s="54" t="s">
        <v>47</v>
      </c>
      <c r="K50" s="54">
        <v>800</v>
      </c>
      <c r="L50" s="54" t="s">
        <v>92</v>
      </c>
    </row>
    <row r="51" spans="1:12" ht="23.1" customHeight="1" x14ac:dyDescent="0.25">
      <c r="A51" s="11">
        <v>49</v>
      </c>
      <c r="B51" s="6" t="s">
        <v>152</v>
      </c>
      <c r="C51" s="56" t="s">
        <v>104</v>
      </c>
      <c r="D51" s="6" t="s">
        <v>8</v>
      </c>
      <c r="E51" s="6">
        <v>9</v>
      </c>
      <c r="F51" s="6">
        <v>6.5</v>
      </c>
      <c r="G51" s="6">
        <v>7</v>
      </c>
      <c r="H51" s="55" t="s">
        <v>226</v>
      </c>
      <c r="I51" s="54">
        <v>550</v>
      </c>
      <c r="J51" s="54" t="s">
        <v>47</v>
      </c>
      <c r="K51" s="54">
        <v>700</v>
      </c>
      <c r="L51" s="54" t="s">
        <v>92</v>
      </c>
    </row>
    <row r="52" spans="1:12" ht="23.1" customHeight="1" x14ac:dyDescent="0.25">
      <c r="A52" s="11">
        <v>50</v>
      </c>
      <c r="B52" s="6" t="s">
        <v>153</v>
      </c>
      <c r="C52" s="57" t="s">
        <v>137</v>
      </c>
      <c r="D52" s="6" t="s">
        <v>8</v>
      </c>
      <c r="E52" s="6">
        <v>8</v>
      </c>
      <c r="F52" s="6">
        <v>4</v>
      </c>
      <c r="G52" s="6">
        <v>6.5</v>
      </c>
      <c r="H52" s="55" t="s">
        <v>226</v>
      </c>
      <c r="I52" s="54">
        <v>550</v>
      </c>
      <c r="J52" s="54" t="s">
        <v>47</v>
      </c>
      <c r="K52" s="54">
        <v>700</v>
      </c>
      <c r="L52" s="54" t="s">
        <v>92</v>
      </c>
    </row>
    <row r="53" spans="1:12" ht="23.1" customHeight="1" x14ac:dyDescent="0.25">
      <c r="A53" s="11">
        <v>51</v>
      </c>
      <c r="B53" s="6" t="s">
        <v>154</v>
      </c>
      <c r="C53" s="56" t="s">
        <v>104</v>
      </c>
      <c r="D53" s="6" t="s">
        <v>8</v>
      </c>
      <c r="E53" s="6">
        <v>8</v>
      </c>
      <c r="F53" s="6">
        <v>6</v>
      </c>
      <c r="G53" s="6">
        <v>7</v>
      </c>
      <c r="H53" s="55" t="s">
        <v>226</v>
      </c>
      <c r="I53" s="54">
        <v>550</v>
      </c>
      <c r="J53" s="54" t="s">
        <v>47</v>
      </c>
      <c r="K53" s="54">
        <v>700</v>
      </c>
      <c r="L53" s="54" t="s">
        <v>92</v>
      </c>
    </row>
    <row r="54" spans="1:12" ht="23.1" customHeight="1" x14ac:dyDescent="0.25">
      <c r="A54" s="11">
        <v>52</v>
      </c>
      <c r="B54" s="6" t="s">
        <v>155</v>
      </c>
      <c r="C54" s="56" t="s">
        <v>104</v>
      </c>
      <c r="D54" s="6" t="s">
        <v>8</v>
      </c>
      <c r="E54" s="6">
        <v>9</v>
      </c>
      <c r="F54" s="6">
        <v>4</v>
      </c>
      <c r="G54" s="6">
        <v>7</v>
      </c>
      <c r="H54" s="55" t="s">
        <v>226</v>
      </c>
      <c r="I54" s="54">
        <v>550</v>
      </c>
      <c r="J54" s="54" t="s">
        <v>47</v>
      </c>
      <c r="K54" s="54">
        <v>700</v>
      </c>
      <c r="L54" s="54" t="s">
        <v>92</v>
      </c>
    </row>
    <row r="55" spans="1:12" ht="23.1" customHeight="1" x14ac:dyDescent="0.25">
      <c r="A55" s="11">
        <v>53</v>
      </c>
      <c r="B55" s="6" t="s">
        <v>156</v>
      </c>
      <c r="C55" s="57" t="s">
        <v>137</v>
      </c>
      <c r="D55" s="6" t="s">
        <v>8</v>
      </c>
      <c r="E55" s="6">
        <v>8</v>
      </c>
      <c r="F55" s="6">
        <v>6</v>
      </c>
      <c r="G55" s="6">
        <v>7</v>
      </c>
      <c r="H55" s="55" t="s">
        <v>225</v>
      </c>
      <c r="I55" s="54">
        <v>450</v>
      </c>
      <c r="J55" s="54" t="s">
        <v>47</v>
      </c>
      <c r="K55" s="54">
        <v>650</v>
      </c>
      <c r="L55" s="54" t="s">
        <v>92</v>
      </c>
    </row>
    <row r="56" spans="1:12" ht="23.1" customHeight="1" x14ac:dyDescent="0.25">
      <c r="A56" s="11">
        <v>54</v>
      </c>
      <c r="B56" s="6" t="s">
        <v>157</v>
      </c>
      <c r="C56" s="57" t="s">
        <v>137</v>
      </c>
      <c r="D56" s="6" t="s">
        <v>8</v>
      </c>
      <c r="E56" s="6">
        <v>7</v>
      </c>
      <c r="F56" s="6">
        <v>6</v>
      </c>
      <c r="G56" s="6">
        <v>6</v>
      </c>
      <c r="H56" s="55" t="s">
        <v>107</v>
      </c>
      <c r="I56" s="54">
        <v>450</v>
      </c>
      <c r="J56" s="54" t="s">
        <v>47</v>
      </c>
      <c r="K56" s="54">
        <v>650</v>
      </c>
      <c r="L56" s="54" t="s">
        <v>92</v>
      </c>
    </row>
    <row r="57" spans="1:12" ht="23.1" customHeight="1" x14ac:dyDescent="0.25">
      <c r="A57" s="11">
        <v>55</v>
      </c>
      <c r="B57" s="6" t="s">
        <v>158</v>
      </c>
      <c r="C57" s="57" t="s">
        <v>137</v>
      </c>
      <c r="D57" s="6" t="s">
        <v>8</v>
      </c>
      <c r="E57" s="6">
        <v>7</v>
      </c>
      <c r="F57" s="6">
        <v>6</v>
      </c>
      <c r="G57" s="6">
        <v>6</v>
      </c>
      <c r="H57" s="55" t="s">
        <v>107</v>
      </c>
      <c r="I57" s="54">
        <v>450</v>
      </c>
      <c r="J57" s="54" t="s">
        <v>47</v>
      </c>
      <c r="K57" s="54">
        <v>600</v>
      </c>
      <c r="L57" s="54" t="s">
        <v>92</v>
      </c>
    </row>
    <row r="58" spans="1:12" ht="23.1" customHeight="1" x14ac:dyDescent="0.25">
      <c r="A58" s="11">
        <v>56</v>
      </c>
      <c r="B58" s="6" t="s">
        <v>151</v>
      </c>
      <c r="C58" s="57" t="s">
        <v>137</v>
      </c>
      <c r="D58" s="6" t="s">
        <v>8</v>
      </c>
      <c r="E58" s="6">
        <v>13</v>
      </c>
      <c r="F58" s="6">
        <v>6</v>
      </c>
      <c r="G58" s="6">
        <v>7</v>
      </c>
      <c r="H58" s="55" t="s">
        <v>226</v>
      </c>
      <c r="I58" s="54">
        <v>700</v>
      </c>
      <c r="J58" s="54" t="s">
        <v>47</v>
      </c>
      <c r="K58" s="54">
        <v>800</v>
      </c>
      <c r="L58" s="54" t="s">
        <v>92</v>
      </c>
    </row>
    <row r="59" spans="1:12" ht="23.1" customHeight="1" x14ac:dyDescent="0.25">
      <c r="A59" s="11">
        <v>57</v>
      </c>
      <c r="B59" s="6" t="s">
        <v>139</v>
      </c>
      <c r="C59" s="57" t="s">
        <v>137</v>
      </c>
      <c r="D59" s="6" t="s">
        <v>8</v>
      </c>
      <c r="E59" s="6">
        <v>12</v>
      </c>
      <c r="F59" s="6">
        <v>6</v>
      </c>
      <c r="G59" s="6">
        <v>7</v>
      </c>
      <c r="H59" s="55" t="s">
        <v>226</v>
      </c>
      <c r="I59" s="54">
        <v>650</v>
      </c>
      <c r="J59" s="54" t="s">
        <v>47</v>
      </c>
      <c r="K59" s="54">
        <v>800</v>
      </c>
      <c r="L59" s="54" t="s">
        <v>92</v>
      </c>
    </row>
    <row r="60" spans="1:12" ht="23.1" customHeight="1" x14ac:dyDescent="0.25">
      <c r="A60" s="11">
        <v>58</v>
      </c>
      <c r="B60" s="6" t="s">
        <v>150</v>
      </c>
      <c r="C60" s="57" t="s">
        <v>137</v>
      </c>
      <c r="D60" s="6" t="s">
        <v>8</v>
      </c>
      <c r="E60" s="6">
        <v>12</v>
      </c>
      <c r="F60" s="6">
        <v>6</v>
      </c>
      <c r="G60" s="6">
        <v>7</v>
      </c>
      <c r="H60" s="55" t="s">
        <v>226</v>
      </c>
      <c r="I60" s="54">
        <v>650</v>
      </c>
      <c r="J60" s="54" t="s">
        <v>47</v>
      </c>
      <c r="K60" s="54">
        <v>800</v>
      </c>
      <c r="L60" s="54" t="s">
        <v>92</v>
      </c>
    </row>
    <row r="61" spans="1:12" ht="23.1" customHeight="1" x14ac:dyDescent="0.25">
      <c r="A61" s="11">
        <v>59</v>
      </c>
      <c r="B61" s="6" t="s">
        <v>159</v>
      </c>
      <c r="C61" s="57" t="s">
        <v>137</v>
      </c>
      <c r="D61" s="6" t="s">
        <v>8</v>
      </c>
      <c r="E61" s="6">
        <v>12</v>
      </c>
      <c r="F61" s="6">
        <v>5</v>
      </c>
      <c r="G61" s="6">
        <v>7</v>
      </c>
      <c r="H61" s="55" t="s">
        <v>226</v>
      </c>
      <c r="I61" s="54">
        <v>650</v>
      </c>
      <c r="J61" s="54" t="s">
        <v>47</v>
      </c>
      <c r="K61" s="54">
        <v>800</v>
      </c>
      <c r="L61" s="54" t="s">
        <v>92</v>
      </c>
    </row>
    <row r="62" spans="1:12" ht="23.1" customHeight="1" x14ac:dyDescent="0.25">
      <c r="A62" s="11">
        <v>60</v>
      </c>
      <c r="B62" s="6" t="s">
        <v>222</v>
      </c>
      <c r="C62" s="57" t="s">
        <v>137</v>
      </c>
      <c r="D62" s="6" t="s">
        <v>8</v>
      </c>
      <c r="E62" s="6">
        <v>12</v>
      </c>
      <c r="F62" s="6">
        <v>6</v>
      </c>
      <c r="G62" s="6">
        <v>7</v>
      </c>
      <c r="H62" s="55" t="s">
        <v>226</v>
      </c>
      <c r="I62" s="54">
        <v>650</v>
      </c>
      <c r="J62" s="54" t="s">
        <v>47</v>
      </c>
      <c r="K62" s="54">
        <v>800</v>
      </c>
      <c r="L62" s="54" t="s">
        <v>92</v>
      </c>
    </row>
    <row r="63" spans="1:12" ht="23.1" customHeight="1" x14ac:dyDescent="0.25">
      <c r="A63" s="11">
        <v>61</v>
      </c>
      <c r="B63" s="6" t="s">
        <v>160</v>
      </c>
      <c r="C63" s="57" t="s">
        <v>137</v>
      </c>
      <c r="D63" s="6" t="s">
        <v>8</v>
      </c>
      <c r="E63" s="6">
        <v>12</v>
      </c>
      <c r="F63" s="6">
        <v>6</v>
      </c>
      <c r="G63" s="6">
        <v>7</v>
      </c>
      <c r="H63" s="55" t="s">
        <v>226</v>
      </c>
      <c r="I63" s="54">
        <v>650</v>
      </c>
      <c r="J63" s="54" t="s">
        <v>47</v>
      </c>
      <c r="K63" s="54">
        <v>800</v>
      </c>
      <c r="L63" s="54" t="s">
        <v>92</v>
      </c>
    </row>
    <row r="64" spans="1:12" ht="23.1" customHeight="1" x14ac:dyDescent="0.25">
      <c r="A64" s="11">
        <v>62</v>
      </c>
      <c r="B64" s="6" t="s">
        <v>161</v>
      </c>
      <c r="C64" s="57" t="s">
        <v>137</v>
      </c>
      <c r="D64" s="6" t="s">
        <v>8</v>
      </c>
      <c r="E64" s="6">
        <v>12</v>
      </c>
      <c r="F64" s="6">
        <v>5</v>
      </c>
      <c r="G64" s="6">
        <v>7</v>
      </c>
      <c r="H64" s="55" t="s">
        <v>226</v>
      </c>
      <c r="I64" s="54">
        <v>650</v>
      </c>
      <c r="J64" s="54" t="s">
        <v>47</v>
      </c>
      <c r="K64" s="54">
        <v>800</v>
      </c>
      <c r="L64" s="54" t="s">
        <v>92</v>
      </c>
    </row>
    <row r="65" spans="1:12" ht="23.1" customHeight="1" x14ac:dyDescent="0.25">
      <c r="A65" s="11">
        <v>63</v>
      </c>
      <c r="B65" s="6" t="s">
        <v>162</v>
      </c>
      <c r="C65" s="57" t="s">
        <v>137</v>
      </c>
      <c r="D65" s="6" t="s">
        <v>8</v>
      </c>
      <c r="E65" s="6">
        <v>12</v>
      </c>
      <c r="F65" s="6">
        <v>6</v>
      </c>
      <c r="G65" s="6">
        <v>8</v>
      </c>
      <c r="H65" s="55" t="s">
        <v>226</v>
      </c>
      <c r="I65" s="54">
        <v>650</v>
      </c>
      <c r="J65" s="54" t="s">
        <v>47</v>
      </c>
      <c r="K65" s="54">
        <v>800</v>
      </c>
      <c r="L65" s="54" t="s">
        <v>92</v>
      </c>
    </row>
    <row r="66" spans="1:12" ht="23.1" customHeight="1" x14ac:dyDescent="0.25">
      <c r="A66" s="11">
        <v>64</v>
      </c>
      <c r="B66" s="6" t="s">
        <v>163</v>
      </c>
      <c r="C66" s="57" t="s">
        <v>137</v>
      </c>
      <c r="D66" s="6" t="s">
        <v>8</v>
      </c>
      <c r="E66" s="6">
        <v>12</v>
      </c>
      <c r="F66" s="6">
        <v>5</v>
      </c>
      <c r="G66" s="6">
        <v>7</v>
      </c>
      <c r="H66" s="55" t="s">
        <v>226</v>
      </c>
      <c r="I66" s="54">
        <v>650</v>
      </c>
      <c r="J66" s="54" t="s">
        <v>47</v>
      </c>
      <c r="K66" s="54">
        <v>800</v>
      </c>
      <c r="L66" s="54" t="s">
        <v>92</v>
      </c>
    </row>
    <row r="67" spans="1:12" ht="23.1" customHeight="1" x14ac:dyDescent="0.25">
      <c r="A67" s="11">
        <v>65</v>
      </c>
      <c r="B67" s="6" t="s">
        <v>164</v>
      </c>
      <c r="C67" s="10" t="s">
        <v>99</v>
      </c>
      <c r="D67" s="6" t="s">
        <v>8</v>
      </c>
      <c r="E67" s="6">
        <v>12</v>
      </c>
      <c r="F67" s="6">
        <v>6</v>
      </c>
      <c r="G67" s="6">
        <v>2.5</v>
      </c>
      <c r="H67" s="55" t="s">
        <v>100</v>
      </c>
      <c r="I67" s="54">
        <v>550</v>
      </c>
      <c r="J67" s="54" t="s">
        <v>47</v>
      </c>
      <c r="K67" s="54">
        <v>700</v>
      </c>
      <c r="L67" s="54" t="s">
        <v>92</v>
      </c>
    </row>
    <row r="68" spans="1:12" ht="23.1" customHeight="1" x14ac:dyDescent="0.25">
      <c r="A68" s="11">
        <v>66</v>
      </c>
      <c r="B68" s="6" t="s">
        <v>165</v>
      </c>
      <c r="C68" s="10" t="s">
        <v>99</v>
      </c>
      <c r="D68" s="6" t="s">
        <v>8</v>
      </c>
      <c r="E68" s="6">
        <v>12</v>
      </c>
      <c r="F68" s="6">
        <v>6</v>
      </c>
      <c r="G68" s="6">
        <v>2.5</v>
      </c>
      <c r="H68" s="55" t="s">
        <v>100</v>
      </c>
      <c r="I68" s="54">
        <v>550</v>
      </c>
      <c r="J68" s="54" t="s">
        <v>47</v>
      </c>
      <c r="K68" s="54">
        <v>700</v>
      </c>
      <c r="L68" s="54" t="s">
        <v>92</v>
      </c>
    </row>
    <row r="69" spans="1:12" ht="23.1" customHeight="1" x14ac:dyDescent="0.25">
      <c r="A69" s="11">
        <v>67</v>
      </c>
      <c r="B69" s="6" t="s">
        <v>165</v>
      </c>
      <c r="C69" s="10" t="s">
        <v>99</v>
      </c>
      <c r="D69" s="6" t="s">
        <v>8</v>
      </c>
      <c r="E69" s="6">
        <v>10</v>
      </c>
      <c r="F69" s="6">
        <v>5</v>
      </c>
      <c r="G69" s="6">
        <v>2.5</v>
      </c>
      <c r="H69" s="55" t="s">
        <v>100</v>
      </c>
      <c r="I69" s="54">
        <v>550</v>
      </c>
      <c r="J69" s="54" t="s">
        <v>47</v>
      </c>
      <c r="K69" s="54">
        <v>700</v>
      </c>
      <c r="L69" s="54" t="s">
        <v>92</v>
      </c>
    </row>
    <row r="70" spans="1:12" ht="23.1" customHeight="1" x14ac:dyDescent="0.25">
      <c r="A70" s="11">
        <v>68</v>
      </c>
      <c r="B70" s="6" t="s">
        <v>166</v>
      </c>
      <c r="C70" s="57" t="s">
        <v>167</v>
      </c>
      <c r="D70" s="6" t="s">
        <v>8</v>
      </c>
      <c r="E70" s="6">
        <v>7</v>
      </c>
      <c r="F70" s="6">
        <v>7</v>
      </c>
      <c r="G70" s="6" t="s">
        <v>168</v>
      </c>
      <c r="H70" s="55" t="s">
        <v>169</v>
      </c>
      <c r="I70" s="54">
        <v>550</v>
      </c>
      <c r="J70" s="54" t="s">
        <v>47</v>
      </c>
      <c r="K70" s="54">
        <v>700</v>
      </c>
      <c r="L70" s="54" t="s">
        <v>92</v>
      </c>
    </row>
    <row r="71" spans="1:12" ht="23.1" customHeight="1" x14ac:dyDescent="0.25">
      <c r="A71" s="11">
        <v>69</v>
      </c>
      <c r="B71" s="6" t="s">
        <v>170</v>
      </c>
      <c r="C71" s="57" t="s">
        <v>167</v>
      </c>
      <c r="D71" s="6" t="s">
        <v>8</v>
      </c>
      <c r="E71" s="6">
        <v>8</v>
      </c>
      <c r="F71" s="6">
        <v>6</v>
      </c>
      <c r="G71" s="6" t="s">
        <v>168</v>
      </c>
      <c r="H71" s="55" t="s">
        <v>169</v>
      </c>
      <c r="I71" s="54">
        <v>550</v>
      </c>
      <c r="J71" s="54" t="s">
        <v>47</v>
      </c>
      <c r="K71" s="54">
        <v>700</v>
      </c>
      <c r="L71" s="54" t="s">
        <v>92</v>
      </c>
    </row>
    <row r="72" spans="1:12" ht="23.1" customHeight="1" x14ac:dyDescent="0.25">
      <c r="A72" s="11">
        <v>70</v>
      </c>
      <c r="B72" s="6" t="s">
        <v>171</v>
      </c>
      <c r="C72" s="56" t="s">
        <v>104</v>
      </c>
      <c r="D72" s="6" t="s">
        <v>8</v>
      </c>
      <c r="E72" s="6">
        <v>7</v>
      </c>
      <c r="F72" s="6">
        <v>5</v>
      </c>
      <c r="G72" s="6">
        <v>5</v>
      </c>
      <c r="H72" s="55" t="s">
        <v>107</v>
      </c>
      <c r="I72" s="54">
        <v>380</v>
      </c>
      <c r="J72" s="54" t="s">
        <v>47</v>
      </c>
      <c r="K72" s="54">
        <v>500</v>
      </c>
      <c r="L72" s="54" t="s">
        <v>92</v>
      </c>
    </row>
    <row r="73" spans="1:12" ht="23.1" customHeight="1" x14ac:dyDescent="0.25">
      <c r="A73" s="11">
        <v>71</v>
      </c>
      <c r="B73" s="6" t="s">
        <v>172</v>
      </c>
      <c r="C73" s="56" t="s">
        <v>104</v>
      </c>
      <c r="D73" s="6" t="s">
        <v>8</v>
      </c>
      <c r="E73" s="6">
        <v>6</v>
      </c>
      <c r="F73" s="6">
        <v>5</v>
      </c>
      <c r="G73" s="6">
        <v>5</v>
      </c>
      <c r="H73" s="55" t="s">
        <v>107</v>
      </c>
      <c r="I73" s="54">
        <v>380</v>
      </c>
      <c r="J73" s="54" t="s">
        <v>47</v>
      </c>
      <c r="K73" s="54">
        <v>500</v>
      </c>
      <c r="L73" s="54" t="s">
        <v>92</v>
      </c>
    </row>
    <row r="74" spans="1:12" ht="23.1" customHeight="1" x14ac:dyDescent="0.25">
      <c r="A74" s="11">
        <v>72</v>
      </c>
      <c r="B74" s="6" t="s">
        <v>173</v>
      </c>
      <c r="C74" s="56" t="s">
        <v>104</v>
      </c>
      <c r="D74" s="6" t="s">
        <v>8</v>
      </c>
      <c r="E74" s="6">
        <v>6</v>
      </c>
      <c r="F74" s="6">
        <v>5</v>
      </c>
      <c r="G74" s="6">
        <v>5</v>
      </c>
      <c r="H74" s="55" t="s">
        <v>107</v>
      </c>
      <c r="I74" s="54">
        <v>380</v>
      </c>
      <c r="J74" s="54" t="s">
        <v>47</v>
      </c>
      <c r="K74" s="54">
        <v>500</v>
      </c>
      <c r="L74" s="54" t="s">
        <v>92</v>
      </c>
    </row>
    <row r="75" spans="1:12" ht="23.1" customHeight="1" x14ac:dyDescent="0.25">
      <c r="A75" s="11">
        <v>73</v>
      </c>
      <c r="B75" s="6" t="s">
        <v>174</v>
      </c>
      <c r="C75" s="56" t="s">
        <v>104</v>
      </c>
      <c r="D75" s="6" t="s">
        <v>8</v>
      </c>
      <c r="E75" s="6">
        <v>6</v>
      </c>
      <c r="F75" s="6">
        <v>5</v>
      </c>
      <c r="G75" s="6">
        <v>5</v>
      </c>
      <c r="H75" s="55" t="s">
        <v>107</v>
      </c>
      <c r="I75" s="54">
        <v>380</v>
      </c>
      <c r="J75" s="54" t="s">
        <v>47</v>
      </c>
      <c r="K75" s="54">
        <v>500</v>
      </c>
      <c r="L75" s="54" t="s">
        <v>92</v>
      </c>
    </row>
    <row r="76" spans="1:12" ht="23.1" customHeight="1" x14ac:dyDescent="0.25">
      <c r="A76" s="11">
        <v>74</v>
      </c>
      <c r="B76" s="6" t="s">
        <v>175</v>
      </c>
      <c r="C76" s="56" t="s">
        <v>104</v>
      </c>
      <c r="D76" s="6" t="s">
        <v>8</v>
      </c>
      <c r="E76" s="6">
        <v>6</v>
      </c>
      <c r="F76" s="6">
        <v>5</v>
      </c>
      <c r="G76" s="6">
        <v>5</v>
      </c>
      <c r="H76" s="55" t="s">
        <v>107</v>
      </c>
      <c r="I76" s="54">
        <v>380</v>
      </c>
      <c r="J76" s="54" t="s">
        <v>47</v>
      </c>
      <c r="K76" s="54">
        <v>500</v>
      </c>
      <c r="L76" s="54" t="s">
        <v>92</v>
      </c>
    </row>
    <row r="77" spans="1:12" ht="23.1" customHeight="1" x14ac:dyDescent="0.25">
      <c r="A77" s="11">
        <v>75</v>
      </c>
      <c r="B77" s="6" t="s">
        <v>176</v>
      </c>
      <c r="C77" s="56" t="s">
        <v>104</v>
      </c>
      <c r="D77" s="6" t="s">
        <v>8</v>
      </c>
      <c r="E77" s="6">
        <v>6</v>
      </c>
      <c r="F77" s="6">
        <v>5</v>
      </c>
      <c r="G77" s="6">
        <v>5</v>
      </c>
      <c r="H77" s="55" t="s">
        <v>107</v>
      </c>
      <c r="I77" s="54">
        <v>380</v>
      </c>
      <c r="J77" s="54" t="s">
        <v>47</v>
      </c>
      <c r="K77" s="54">
        <v>500</v>
      </c>
      <c r="L77" s="54" t="s">
        <v>92</v>
      </c>
    </row>
    <row r="78" spans="1:12" ht="23.1" customHeight="1" x14ac:dyDescent="0.25">
      <c r="A78" s="11">
        <v>76</v>
      </c>
      <c r="B78" s="6" t="s">
        <v>177</v>
      </c>
      <c r="C78" s="56" t="s">
        <v>104</v>
      </c>
      <c r="D78" s="6" t="s">
        <v>8</v>
      </c>
      <c r="E78" s="6">
        <v>7</v>
      </c>
      <c r="F78" s="6">
        <v>6</v>
      </c>
      <c r="G78" s="6">
        <v>5</v>
      </c>
      <c r="H78" s="55" t="s">
        <v>226</v>
      </c>
      <c r="I78" s="54">
        <v>550</v>
      </c>
      <c r="J78" s="54" t="s">
        <v>47</v>
      </c>
      <c r="K78" s="54">
        <v>700</v>
      </c>
      <c r="L78" s="54" t="s">
        <v>92</v>
      </c>
    </row>
    <row r="79" spans="1:12" ht="23.1" customHeight="1" x14ac:dyDescent="0.25">
      <c r="A79" s="11">
        <v>77</v>
      </c>
      <c r="B79" s="6" t="s">
        <v>178</v>
      </c>
      <c r="C79" s="56" t="s">
        <v>104</v>
      </c>
      <c r="D79" s="6" t="s">
        <v>8</v>
      </c>
      <c r="E79" s="6">
        <v>10</v>
      </c>
      <c r="F79" s="6">
        <v>5</v>
      </c>
      <c r="G79" s="6">
        <v>7</v>
      </c>
      <c r="H79" s="55" t="s">
        <v>226</v>
      </c>
      <c r="I79" s="54">
        <v>550</v>
      </c>
      <c r="J79" s="54" t="s">
        <v>47</v>
      </c>
      <c r="K79" s="54">
        <v>700</v>
      </c>
      <c r="L79" s="54" t="s">
        <v>92</v>
      </c>
    </row>
    <row r="80" spans="1:12" ht="23.1" customHeight="1" x14ac:dyDescent="0.25">
      <c r="A80" s="11">
        <v>78</v>
      </c>
      <c r="B80" s="6" t="s">
        <v>179</v>
      </c>
      <c r="C80" s="56" t="s">
        <v>104</v>
      </c>
      <c r="D80" s="6" t="s">
        <v>8</v>
      </c>
      <c r="E80" s="6">
        <v>10</v>
      </c>
      <c r="F80" s="6">
        <v>5</v>
      </c>
      <c r="G80" s="6">
        <v>7</v>
      </c>
      <c r="H80" s="55" t="s">
        <v>226</v>
      </c>
      <c r="I80" s="54">
        <v>550</v>
      </c>
      <c r="J80" s="54" t="s">
        <v>47</v>
      </c>
      <c r="K80" s="54">
        <v>700</v>
      </c>
      <c r="L80" s="54" t="s">
        <v>92</v>
      </c>
    </row>
    <row r="81" spans="1:12" ht="23.1" customHeight="1" x14ac:dyDescent="0.25">
      <c r="A81" s="11">
        <v>79</v>
      </c>
      <c r="B81" s="6" t="s">
        <v>180</v>
      </c>
      <c r="C81" s="56" t="s">
        <v>104</v>
      </c>
      <c r="D81" s="6" t="s">
        <v>8</v>
      </c>
      <c r="E81" s="6">
        <v>10</v>
      </c>
      <c r="F81" s="6">
        <v>5</v>
      </c>
      <c r="G81" s="6">
        <v>7</v>
      </c>
      <c r="H81" s="55" t="s">
        <v>226</v>
      </c>
      <c r="I81" s="54">
        <v>550</v>
      </c>
      <c r="J81" s="54" t="s">
        <v>47</v>
      </c>
      <c r="K81" s="54">
        <v>700</v>
      </c>
      <c r="L81" s="54" t="s">
        <v>92</v>
      </c>
    </row>
    <row r="82" spans="1:12" ht="23.1" customHeight="1" x14ac:dyDescent="0.25">
      <c r="A82" s="11">
        <v>80</v>
      </c>
      <c r="B82" s="6" t="s">
        <v>181</v>
      </c>
      <c r="C82" s="56" t="s">
        <v>104</v>
      </c>
      <c r="D82" s="6" t="s">
        <v>8</v>
      </c>
      <c r="E82" s="6">
        <v>10</v>
      </c>
      <c r="F82" s="6">
        <v>5</v>
      </c>
      <c r="G82" s="6">
        <v>7</v>
      </c>
      <c r="H82" s="55" t="s">
        <v>226</v>
      </c>
      <c r="I82" s="54">
        <v>550</v>
      </c>
      <c r="J82" s="54" t="s">
        <v>47</v>
      </c>
      <c r="K82" s="54">
        <v>700</v>
      </c>
      <c r="L82" s="54" t="s">
        <v>92</v>
      </c>
    </row>
    <row r="83" spans="1:12" ht="23.1" customHeight="1" x14ac:dyDescent="0.25">
      <c r="A83" s="11">
        <v>81</v>
      </c>
      <c r="B83" s="6" t="s">
        <v>182</v>
      </c>
      <c r="C83" s="56" t="s">
        <v>104</v>
      </c>
      <c r="D83" s="6" t="s">
        <v>8</v>
      </c>
      <c r="E83" s="6">
        <v>8</v>
      </c>
      <c r="F83" s="6">
        <v>5</v>
      </c>
      <c r="G83" s="6">
        <v>7.5</v>
      </c>
      <c r="H83" s="55" t="s">
        <v>226</v>
      </c>
      <c r="I83" s="54">
        <v>550</v>
      </c>
      <c r="J83" s="54" t="s">
        <v>47</v>
      </c>
      <c r="K83" s="54">
        <v>700</v>
      </c>
      <c r="L83" s="54" t="s">
        <v>92</v>
      </c>
    </row>
    <row r="84" spans="1:12" ht="23.1" customHeight="1" x14ac:dyDescent="0.25">
      <c r="A84" s="11">
        <v>82</v>
      </c>
      <c r="B84" s="6" t="s">
        <v>183</v>
      </c>
      <c r="C84" s="56" t="s">
        <v>104</v>
      </c>
      <c r="D84" s="6" t="s">
        <v>8</v>
      </c>
      <c r="E84" s="6">
        <v>6</v>
      </c>
      <c r="F84" s="6">
        <v>5</v>
      </c>
      <c r="G84" s="6">
        <v>5</v>
      </c>
      <c r="H84" s="55" t="s">
        <v>107</v>
      </c>
      <c r="I84" s="54">
        <v>380</v>
      </c>
      <c r="J84" s="54" t="s">
        <v>47</v>
      </c>
      <c r="K84" s="54">
        <v>500</v>
      </c>
      <c r="L84" s="54" t="s">
        <v>92</v>
      </c>
    </row>
    <row r="85" spans="1:12" ht="23.1" customHeight="1" x14ac:dyDescent="0.25">
      <c r="A85" s="11">
        <v>83</v>
      </c>
      <c r="B85" s="6" t="s">
        <v>167</v>
      </c>
      <c r="C85" s="57" t="s">
        <v>167</v>
      </c>
      <c r="D85" s="6" t="s">
        <v>8</v>
      </c>
      <c r="E85" s="6">
        <v>8</v>
      </c>
      <c r="F85" s="6">
        <v>6</v>
      </c>
      <c r="G85" s="6" t="s">
        <v>168</v>
      </c>
      <c r="H85" s="55" t="s">
        <v>169</v>
      </c>
      <c r="I85" s="54">
        <v>550</v>
      </c>
      <c r="J85" s="54" t="s">
        <v>47</v>
      </c>
      <c r="K85" s="54">
        <v>700</v>
      </c>
      <c r="L85" s="54" t="s">
        <v>92</v>
      </c>
    </row>
    <row r="86" spans="1:12" ht="23.1" customHeight="1" x14ac:dyDescent="0.25">
      <c r="A86" s="11">
        <v>84</v>
      </c>
      <c r="B86" s="6" t="s">
        <v>224</v>
      </c>
      <c r="C86" s="56" t="s">
        <v>104</v>
      </c>
      <c r="D86" s="6" t="s">
        <v>8</v>
      </c>
      <c r="E86" s="6">
        <v>8</v>
      </c>
      <c r="F86" s="6">
        <v>5</v>
      </c>
      <c r="G86" s="6">
        <v>5</v>
      </c>
      <c r="H86" s="55" t="s">
        <v>107</v>
      </c>
      <c r="I86" s="54">
        <v>500</v>
      </c>
      <c r="J86" s="54" t="s">
        <v>47</v>
      </c>
      <c r="K86" s="54">
        <v>700</v>
      </c>
      <c r="L86" s="54" t="s">
        <v>92</v>
      </c>
    </row>
    <row r="87" spans="1:12" ht="23.1" customHeight="1" x14ac:dyDescent="0.25">
      <c r="A87" s="11">
        <v>85</v>
      </c>
      <c r="B87" s="6" t="s">
        <v>227</v>
      </c>
      <c r="C87" s="56" t="s">
        <v>104</v>
      </c>
      <c r="D87" s="6" t="s">
        <v>8</v>
      </c>
      <c r="E87" s="6">
        <v>8</v>
      </c>
      <c r="F87" s="6">
        <v>5</v>
      </c>
      <c r="G87" s="6">
        <v>5</v>
      </c>
      <c r="H87" s="55" t="s">
        <v>107</v>
      </c>
      <c r="I87" s="54">
        <v>500</v>
      </c>
      <c r="J87" s="54" t="s">
        <v>47</v>
      </c>
      <c r="K87" s="54">
        <v>700</v>
      </c>
      <c r="L87" s="54" t="s">
        <v>92</v>
      </c>
    </row>
    <row r="88" spans="1:12" ht="23.1" customHeight="1" x14ac:dyDescent="0.25">
      <c r="A88" s="11">
        <v>86</v>
      </c>
      <c r="B88" s="6" t="s">
        <v>228</v>
      </c>
      <c r="C88" s="56" t="s">
        <v>104</v>
      </c>
      <c r="D88" s="6" t="s">
        <v>8</v>
      </c>
      <c r="E88" s="6">
        <v>8</v>
      </c>
      <c r="F88" s="6">
        <v>5</v>
      </c>
      <c r="G88" s="6">
        <v>5</v>
      </c>
      <c r="H88" s="55" t="s">
        <v>107</v>
      </c>
      <c r="I88" s="54">
        <v>500</v>
      </c>
      <c r="J88" s="54" t="s">
        <v>47</v>
      </c>
      <c r="K88" s="54">
        <v>700</v>
      </c>
      <c r="L88" s="54" t="s">
        <v>92</v>
      </c>
    </row>
    <row r="89" spans="1:12" ht="23.1" customHeight="1" x14ac:dyDescent="0.25">
      <c r="A89" s="11">
        <v>87</v>
      </c>
      <c r="B89" s="6" t="s">
        <v>229</v>
      </c>
      <c r="C89" s="56" t="s">
        <v>104</v>
      </c>
      <c r="D89" s="6" t="s">
        <v>8</v>
      </c>
      <c r="E89" s="6">
        <v>8</v>
      </c>
      <c r="F89" s="6">
        <v>5</v>
      </c>
      <c r="G89" s="6">
        <v>5</v>
      </c>
      <c r="H89" s="55" t="s">
        <v>107</v>
      </c>
      <c r="I89" s="54">
        <v>500</v>
      </c>
      <c r="J89" s="54" t="s">
        <v>47</v>
      </c>
      <c r="K89" s="54">
        <v>700</v>
      </c>
      <c r="L89" s="54" t="s">
        <v>92</v>
      </c>
    </row>
    <row r="90" spans="1:12" ht="23.1" customHeight="1" x14ac:dyDescent="0.25">
      <c r="A90" s="11">
        <v>500</v>
      </c>
      <c r="B90" s="6" t="s">
        <v>184</v>
      </c>
      <c r="C90" s="57" t="s">
        <v>187</v>
      </c>
      <c r="D90" s="6" t="s">
        <v>8</v>
      </c>
      <c r="E90" s="6"/>
      <c r="F90" s="6"/>
      <c r="G90" s="6"/>
      <c r="H90" s="55" t="s">
        <v>226</v>
      </c>
      <c r="I90" s="54">
        <v>300</v>
      </c>
      <c r="J90" s="54" t="s">
        <v>186</v>
      </c>
      <c r="K90" s="54">
        <v>500</v>
      </c>
      <c r="L90" s="54" t="s">
        <v>185</v>
      </c>
    </row>
    <row r="91" spans="1:12" ht="23.1" customHeight="1" x14ac:dyDescent="0.25">
      <c r="A91" s="11">
        <v>501</v>
      </c>
      <c r="B91" s="6" t="s">
        <v>188</v>
      </c>
      <c r="C91" s="57" t="s">
        <v>187</v>
      </c>
      <c r="D91" s="6" t="s">
        <v>8</v>
      </c>
      <c r="E91" s="6"/>
      <c r="F91" s="6"/>
      <c r="G91" s="6"/>
      <c r="H91" s="55" t="s">
        <v>226</v>
      </c>
      <c r="I91" s="54">
        <v>300</v>
      </c>
      <c r="J91" s="54" t="s">
        <v>186</v>
      </c>
      <c r="K91" s="54">
        <v>500</v>
      </c>
      <c r="L91" s="54" t="s">
        <v>185</v>
      </c>
    </row>
  </sheetData>
  <autoFilter ref="A2:L470" xr:uid="{1F9F1407-9FE4-E34B-9A7E-6F19D4133E12}"/>
  <mergeCells count="3">
    <mergeCell ref="K1:L1"/>
    <mergeCell ref="I1:J1"/>
    <mergeCell ref="E1:G1"/>
  </mergeCells>
  <pageMargins left="0.25" right="0.25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74E69-4F77-4D5C-BA83-3BEEF18F284C}">
  <dimension ref="A1:AB36"/>
  <sheetViews>
    <sheetView workbookViewId="0">
      <selection activeCell="E22" sqref="E22"/>
    </sheetView>
  </sheetViews>
  <sheetFormatPr defaultColWidth="3.85546875" defaultRowHeight="15.75" x14ac:dyDescent="0.25"/>
  <cols>
    <col min="1" max="1" width="4.42578125" style="4" bestFit="1" customWidth="1"/>
    <col min="2" max="2" width="29.5703125" style="4" customWidth="1"/>
    <col min="3" max="3" width="5.7109375" style="4" bestFit="1" customWidth="1"/>
    <col min="4" max="4" width="5.5703125" style="4" bestFit="1" customWidth="1"/>
    <col min="5" max="5" width="10.7109375" style="4" bestFit="1" customWidth="1"/>
    <col min="6" max="6" width="9.5703125" style="4" bestFit="1" customWidth="1"/>
    <col min="7" max="8" width="9.5703125" style="4" customWidth="1"/>
    <col min="9" max="9" width="10.7109375" style="4" customWidth="1"/>
    <col min="10" max="10" width="10.28515625" style="4" bestFit="1" customWidth="1"/>
    <col min="11" max="11" width="9.5703125" style="4" bestFit="1" customWidth="1"/>
    <col min="12" max="12" width="10.28515625" style="4" bestFit="1" customWidth="1"/>
    <col min="13" max="13" width="10.5703125" style="4" bestFit="1" customWidth="1"/>
    <col min="14" max="14" width="10.28515625" style="4" bestFit="1" customWidth="1"/>
    <col min="15" max="15" width="9.5703125" style="4" bestFit="1" customWidth="1"/>
    <col min="16" max="16" width="10.28515625" style="4" bestFit="1" customWidth="1"/>
    <col min="17" max="17" width="9.5703125" style="4" bestFit="1" customWidth="1"/>
    <col min="18" max="18" width="11.28515625" style="4" bestFit="1" customWidth="1"/>
    <col min="19" max="19" width="9.5703125" style="4" bestFit="1" customWidth="1"/>
    <col min="20" max="20" width="13.140625" style="4" customWidth="1"/>
    <col min="21" max="21" width="11.28515625" style="4" bestFit="1" customWidth="1"/>
    <col min="22" max="22" width="9.5703125" style="4" bestFit="1" customWidth="1"/>
    <col min="23" max="23" width="13.140625" style="4" customWidth="1"/>
    <col min="24" max="24" width="11.28515625" style="4" bestFit="1" customWidth="1"/>
    <col min="25" max="25" width="9.5703125" style="4" bestFit="1" customWidth="1"/>
    <col min="26" max="26" width="48.7109375" style="4" bestFit="1" customWidth="1"/>
    <col min="27" max="27" width="8.7109375" style="4" bestFit="1" customWidth="1"/>
    <col min="28" max="28" width="10.42578125" style="4" bestFit="1" customWidth="1"/>
    <col min="29" max="16384" width="3.85546875" style="4"/>
  </cols>
  <sheetData>
    <row r="1" spans="1:28" s="37" customFormat="1" ht="35.1" customHeight="1" thickBot="1" x14ac:dyDescent="0.3">
      <c r="A1" s="28" t="s">
        <v>0</v>
      </c>
      <c r="B1" s="29" t="s">
        <v>1</v>
      </c>
      <c r="C1" s="29" t="s">
        <v>2</v>
      </c>
      <c r="D1" s="30" t="s">
        <v>3</v>
      </c>
      <c r="E1" s="31" t="s">
        <v>59</v>
      </c>
      <c r="F1" s="45" t="s">
        <v>74</v>
      </c>
      <c r="G1" s="45" t="s">
        <v>9</v>
      </c>
      <c r="H1" s="45" t="s">
        <v>75</v>
      </c>
      <c r="I1" s="46" t="s">
        <v>73</v>
      </c>
      <c r="J1" s="32" t="s">
        <v>61</v>
      </c>
      <c r="K1" s="32" t="s">
        <v>74</v>
      </c>
      <c r="L1" s="33" t="s">
        <v>61</v>
      </c>
      <c r="M1" s="33" t="s">
        <v>60</v>
      </c>
      <c r="N1" s="34" t="s">
        <v>61</v>
      </c>
      <c r="O1" s="34" t="s">
        <v>60</v>
      </c>
      <c r="P1" s="35" t="s">
        <v>61</v>
      </c>
      <c r="Q1" s="35" t="s">
        <v>60</v>
      </c>
      <c r="R1" s="38" t="s">
        <v>61</v>
      </c>
      <c r="S1" s="38" t="s">
        <v>60</v>
      </c>
      <c r="T1" s="36" t="s">
        <v>77</v>
      </c>
      <c r="U1" s="40" t="s">
        <v>61</v>
      </c>
      <c r="V1" s="40" t="s">
        <v>60</v>
      </c>
      <c r="W1" s="36" t="s">
        <v>77</v>
      </c>
      <c r="X1" s="40" t="s">
        <v>61</v>
      </c>
      <c r="Y1" s="40" t="s">
        <v>60</v>
      </c>
      <c r="Z1" s="36" t="s">
        <v>77</v>
      </c>
    </row>
    <row r="2" spans="1:28" ht="23.1" customHeight="1" x14ac:dyDescent="0.25">
      <c r="A2" s="5">
        <v>400</v>
      </c>
      <c r="B2" s="6" t="s">
        <v>7</v>
      </c>
      <c r="C2" s="6" t="s">
        <v>8</v>
      </c>
      <c r="D2" s="6" t="s">
        <v>9</v>
      </c>
      <c r="E2" s="7" t="s">
        <v>62</v>
      </c>
      <c r="F2" s="13">
        <v>150</v>
      </c>
      <c r="G2" s="13">
        <v>150</v>
      </c>
      <c r="H2" s="13">
        <f>SUM(F2:G2)</f>
        <v>300</v>
      </c>
      <c r="I2" s="47">
        <v>5</v>
      </c>
      <c r="J2" s="17">
        <v>20</v>
      </c>
      <c r="K2" s="17">
        <f>(J2*I2)+H2</f>
        <v>400</v>
      </c>
      <c r="L2" s="48">
        <v>30</v>
      </c>
      <c r="M2" s="48">
        <f>(L2*I2)+H2</f>
        <v>450</v>
      </c>
      <c r="N2" s="9">
        <v>40</v>
      </c>
      <c r="O2" s="9">
        <f>(N2*I2)+H2</f>
        <v>500</v>
      </c>
      <c r="P2" s="25">
        <v>50</v>
      </c>
      <c r="Q2" s="42">
        <f>(P2*I2)+H2</f>
        <v>550</v>
      </c>
      <c r="R2" s="39">
        <v>100</v>
      </c>
      <c r="S2" s="43">
        <f>(R2*I2)+H2</f>
        <v>800</v>
      </c>
      <c r="T2" s="27"/>
      <c r="U2" s="41">
        <v>150</v>
      </c>
      <c r="V2" s="44">
        <f>(U2*I2)+H2</f>
        <v>1050</v>
      </c>
      <c r="W2" s="27"/>
      <c r="X2" s="41">
        <v>200</v>
      </c>
      <c r="Y2" s="44">
        <f>(X2*I2)+H2</f>
        <v>1300</v>
      </c>
      <c r="Z2" s="27"/>
      <c r="AA2" s="26"/>
      <c r="AB2" s="26"/>
    </row>
    <row r="3" spans="1:28" x14ac:dyDescent="0.25">
      <c r="A3" s="11">
        <v>401</v>
      </c>
      <c r="B3" s="6" t="s">
        <v>11</v>
      </c>
      <c r="C3" s="6" t="s">
        <v>8</v>
      </c>
      <c r="D3" s="6" t="s">
        <v>9</v>
      </c>
      <c r="E3" s="7" t="s">
        <v>62</v>
      </c>
      <c r="F3" s="13">
        <v>200</v>
      </c>
      <c r="G3" s="13">
        <v>150</v>
      </c>
      <c r="H3" s="13">
        <f t="shared" ref="H3:H28" si="0">SUM(F3:G3)</f>
        <v>350</v>
      </c>
      <c r="I3" s="47">
        <v>5</v>
      </c>
      <c r="J3" s="17">
        <v>20</v>
      </c>
      <c r="K3" s="17">
        <f t="shared" ref="K3:K28" si="1">(J3*I3)+H3</f>
        <v>450</v>
      </c>
      <c r="L3" s="48">
        <v>30</v>
      </c>
      <c r="M3" s="48">
        <f t="shared" ref="M3:M28" si="2">(L3*I3)+H3</f>
        <v>500</v>
      </c>
      <c r="N3" s="9">
        <v>40</v>
      </c>
      <c r="O3" s="9">
        <f t="shared" ref="O3:O28" si="3">(N3*I3)+H3</f>
        <v>550</v>
      </c>
      <c r="P3" s="25">
        <v>50</v>
      </c>
      <c r="Q3" s="42">
        <f t="shared" ref="Q3:Q28" si="4">(P3*I3)+H3</f>
        <v>600</v>
      </c>
      <c r="R3" s="39">
        <v>100</v>
      </c>
      <c r="S3" s="43">
        <f t="shared" ref="S3:S28" si="5">(R3*I3)+H3</f>
        <v>850</v>
      </c>
      <c r="T3" s="27"/>
      <c r="U3" s="41">
        <v>150</v>
      </c>
      <c r="V3" s="44">
        <f t="shared" ref="V3:V28" si="6">(U3*I3)+H3</f>
        <v>1100</v>
      </c>
      <c r="W3" s="27"/>
      <c r="X3" s="41">
        <v>200</v>
      </c>
      <c r="Y3" s="44">
        <f t="shared" ref="Y3:Y28" si="7">(X3*I3)+H3</f>
        <v>1350</v>
      </c>
      <c r="Z3" s="27"/>
      <c r="AA3" s="26"/>
      <c r="AB3" s="26"/>
    </row>
    <row r="4" spans="1:28" x14ac:dyDescent="0.25">
      <c r="A4" s="5">
        <v>402</v>
      </c>
      <c r="B4" s="12" t="s">
        <v>12</v>
      </c>
      <c r="C4" s="6" t="s">
        <v>8</v>
      </c>
      <c r="D4" s="6" t="s">
        <v>9</v>
      </c>
      <c r="E4" s="7" t="s">
        <v>62</v>
      </c>
      <c r="F4" s="13">
        <v>150</v>
      </c>
      <c r="G4" s="13">
        <v>150</v>
      </c>
      <c r="H4" s="13">
        <f t="shared" si="0"/>
        <v>300</v>
      </c>
      <c r="I4" s="47">
        <v>5</v>
      </c>
      <c r="J4" s="17">
        <v>20</v>
      </c>
      <c r="K4" s="17">
        <f t="shared" si="1"/>
        <v>400</v>
      </c>
      <c r="L4" s="48">
        <v>30</v>
      </c>
      <c r="M4" s="48">
        <f t="shared" si="2"/>
        <v>450</v>
      </c>
      <c r="N4" s="9">
        <v>40</v>
      </c>
      <c r="O4" s="9">
        <f t="shared" si="3"/>
        <v>500</v>
      </c>
      <c r="P4" s="25">
        <v>50</v>
      </c>
      <c r="Q4" s="42">
        <f t="shared" si="4"/>
        <v>550</v>
      </c>
      <c r="R4" s="39">
        <v>100</v>
      </c>
      <c r="S4" s="43">
        <f t="shared" si="5"/>
        <v>800</v>
      </c>
      <c r="T4" s="27"/>
      <c r="U4" s="41">
        <v>150</v>
      </c>
      <c r="V4" s="44">
        <f t="shared" si="6"/>
        <v>1050</v>
      </c>
      <c r="W4" s="27"/>
      <c r="X4" s="41">
        <v>200</v>
      </c>
      <c r="Y4" s="44">
        <f t="shared" si="7"/>
        <v>1300</v>
      </c>
      <c r="Z4" s="27"/>
      <c r="AA4" s="26"/>
      <c r="AB4" s="26"/>
    </row>
    <row r="5" spans="1:28" x14ac:dyDescent="0.25">
      <c r="A5" s="11">
        <v>403</v>
      </c>
      <c r="B5" s="12" t="s">
        <v>13</v>
      </c>
      <c r="C5" s="6" t="s">
        <v>8</v>
      </c>
      <c r="D5" s="6" t="s">
        <v>9</v>
      </c>
      <c r="E5" s="7" t="s">
        <v>62</v>
      </c>
      <c r="F5" s="13">
        <v>200</v>
      </c>
      <c r="G5" s="13">
        <v>150</v>
      </c>
      <c r="H5" s="13">
        <f t="shared" si="0"/>
        <v>350</v>
      </c>
      <c r="I5" s="47">
        <v>5</v>
      </c>
      <c r="J5" s="17">
        <v>20</v>
      </c>
      <c r="K5" s="17">
        <f t="shared" si="1"/>
        <v>450</v>
      </c>
      <c r="L5" s="48">
        <v>30</v>
      </c>
      <c r="M5" s="48">
        <f t="shared" si="2"/>
        <v>500</v>
      </c>
      <c r="N5" s="9">
        <v>40</v>
      </c>
      <c r="O5" s="9">
        <f t="shared" si="3"/>
        <v>550</v>
      </c>
      <c r="P5" s="25">
        <v>50</v>
      </c>
      <c r="Q5" s="42">
        <f t="shared" si="4"/>
        <v>600</v>
      </c>
      <c r="R5" s="39">
        <v>100</v>
      </c>
      <c r="S5" s="43">
        <f>(R5*I5)+H5+300</f>
        <v>1150</v>
      </c>
      <c r="T5" s="27"/>
      <c r="U5" s="41">
        <v>150</v>
      </c>
      <c r="V5" s="44">
        <f>(U5*I5)+H5+300</f>
        <v>1400</v>
      </c>
      <c r="W5" s="27"/>
      <c r="X5" s="41">
        <v>200</v>
      </c>
      <c r="Y5" s="44">
        <f>(X5*I5)+H5+300</f>
        <v>1650</v>
      </c>
      <c r="Z5" s="27"/>
      <c r="AA5" s="26"/>
      <c r="AB5" s="26"/>
    </row>
    <row r="6" spans="1:28" x14ac:dyDescent="0.25">
      <c r="A6" s="5">
        <v>404</v>
      </c>
      <c r="B6" s="12" t="s">
        <v>14</v>
      </c>
      <c r="C6" s="6" t="s">
        <v>8</v>
      </c>
      <c r="D6" s="6" t="s">
        <v>9</v>
      </c>
      <c r="E6" s="7" t="s">
        <v>62</v>
      </c>
      <c r="F6" s="13">
        <v>200</v>
      </c>
      <c r="G6" s="13">
        <v>150</v>
      </c>
      <c r="H6" s="13">
        <f t="shared" si="0"/>
        <v>350</v>
      </c>
      <c r="I6" s="47">
        <v>10</v>
      </c>
      <c r="J6" s="17">
        <v>20</v>
      </c>
      <c r="K6" s="17">
        <f t="shared" si="1"/>
        <v>550</v>
      </c>
      <c r="L6" s="48">
        <v>30</v>
      </c>
      <c r="M6" s="48">
        <f t="shared" si="2"/>
        <v>650</v>
      </c>
      <c r="N6" s="9">
        <v>40</v>
      </c>
      <c r="O6" s="9">
        <f t="shared" si="3"/>
        <v>750</v>
      </c>
      <c r="P6" s="25">
        <v>50</v>
      </c>
      <c r="Q6" s="42">
        <f t="shared" si="4"/>
        <v>850</v>
      </c>
      <c r="R6" s="39">
        <v>100</v>
      </c>
      <c r="S6" s="43">
        <f t="shared" si="5"/>
        <v>1350</v>
      </c>
      <c r="T6" s="27" t="s">
        <v>76</v>
      </c>
      <c r="U6" s="41">
        <v>150</v>
      </c>
      <c r="V6" s="44">
        <f t="shared" si="6"/>
        <v>1850</v>
      </c>
      <c r="W6" s="27" t="s">
        <v>76</v>
      </c>
      <c r="X6" s="41">
        <v>200</v>
      </c>
      <c r="Y6" s="44">
        <f t="shared" si="7"/>
        <v>2350</v>
      </c>
      <c r="Z6" s="27" t="s">
        <v>76</v>
      </c>
      <c r="AA6" s="26"/>
      <c r="AB6" s="26"/>
    </row>
    <row r="7" spans="1:28" x14ac:dyDescent="0.25">
      <c r="A7" s="11">
        <v>405</v>
      </c>
      <c r="B7" s="12" t="s">
        <v>15</v>
      </c>
      <c r="C7" s="6" t="s">
        <v>8</v>
      </c>
      <c r="D7" s="6" t="s">
        <v>9</v>
      </c>
      <c r="E7" s="7" t="s">
        <v>62</v>
      </c>
      <c r="F7" s="13">
        <v>150</v>
      </c>
      <c r="G7" s="13">
        <v>150</v>
      </c>
      <c r="H7" s="13">
        <f t="shared" si="0"/>
        <v>300</v>
      </c>
      <c r="I7" s="47">
        <v>10</v>
      </c>
      <c r="J7" s="17">
        <v>20</v>
      </c>
      <c r="K7" s="17">
        <f t="shared" si="1"/>
        <v>500</v>
      </c>
      <c r="L7" s="48">
        <v>30</v>
      </c>
      <c r="M7" s="48">
        <f t="shared" si="2"/>
        <v>600</v>
      </c>
      <c r="N7" s="9">
        <v>40</v>
      </c>
      <c r="O7" s="9">
        <f t="shared" si="3"/>
        <v>700</v>
      </c>
      <c r="P7" s="25">
        <v>50</v>
      </c>
      <c r="Q7" s="42">
        <f t="shared" si="4"/>
        <v>800</v>
      </c>
      <c r="R7" s="39">
        <v>100</v>
      </c>
      <c r="S7" s="43">
        <f t="shared" si="5"/>
        <v>1300</v>
      </c>
      <c r="T7" s="27"/>
      <c r="U7" s="41">
        <v>150</v>
      </c>
      <c r="V7" s="44">
        <f t="shared" si="6"/>
        <v>1800</v>
      </c>
      <c r="W7" s="27"/>
      <c r="X7" s="41">
        <v>200</v>
      </c>
      <c r="Y7" s="44">
        <f t="shared" si="7"/>
        <v>2300</v>
      </c>
      <c r="Z7" s="27"/>
      <c r="AA7" s="26"/>
      <c r="AB7" s="26"/>
    </row>
    <row r="8" spans="1:28" x14ac:dyDescent="0.25">
      <c r="A8" s="5">
        <v>406</v>
      </c>
      <c r="B8" s="12" t="s">
        <v>16</v>
      </c>
      <c r="C8" s="6" t="s">
        <v>8</v>
      </c>
      <c r="D8" s="6" t="s">
        <v>9</v>
      </c>
      <c r="E8" s="7" t="s">
        <v>62</v>
      </c>
      <c r="F8" s="13">
        <v>200</v>
      </c>
      <c r="G8" s="13">
        <v>150</v>
      </c>
      <c r="H8" s="13">
        <f t="shared" si="0"/>
        <v>350</v>
      </c>
      <c r="I8" s="47">
        <v>10</v>
      </c>
      <c r="J8" s="17">
        <v>20</v>
      </c>
      <c r="K8" s="17">
        <f t="shared" si="1"/>
        <v>550</v>
      </c>
      <c r="L8" s="48">
        <v>30</v>
      </c>
      <c r="M8" s="48">
        <f t="shared" si="2"/>
        <v>650</v>
      </c>
      <c r="N8" s="9">
        <v>40</v>
      </c>
      <c r="O8" s="9">
        <f t="shared" si="3"/>
        <v>750</v>
      </c>
      <c r="P8" s="25">
        <v>50</v>
      </c>
      <c r="Q8" s="42">
        <f t="shared" si="4"/>
        <v>850</v>
      </c>
      <c r="R8" s="39">
        <v>100</v>
      </c>
      <c r="S8" s="43">
        <f t="shared" si="5"/>
        <v>1350</v>
      </c>
      <c r="T8" s="27"/>
      <c r="U8" s="41">
        <v>150</v>
      </c>
      <c r="V8" s="44">
        <f t="shared" si="6"/>
        <v>1850</v>
      </c>
      <c r="W8" s="27"/>
      <c r="X8" s="41">
        <v>200</v>
      </c>
      <c r="Y8" s="44">
        <f t="shared" si="7"/>
        <v>2350</v>
      </c>
      <c r="Z8" s="27"/>
      <c r="AA8" s="26"/>
      <c r="AB8" s="26"/>
    </row>
    <row r="9" spans="1:28" x14ac:dyDescent="0.25">
      <c r="A9" s="11">
        <v>407</v>
      </c>
      <c r="B9" s="12" t="s">
        <v>17</v>
      </c>
      <c r="C9" s="6" t="s">
        <v>8</v>
      </c>
      <c r="D9" s="6" t="s">
        <v>9</v>
      </c>
      <c r="E9" s="7" t="s">
        <v>62</v>
      </c>
      <c r="F9" s="13">
        <v>150</v>
      </c>
      <c r="G9" s="13">
        <v>150</v>
      </c>
      <c r="H9" s="13">
        <f t="shared" si="0"/>
        <v>300</v>
      </c>
      <c r="I9" s="47">
        <v>5</v>
      </c>
      <c r="J9" s="17">
        <v>20</v>
      </c>
      <c r="K9" s="17">
        <f t="shared" si="1"/>
        <v>400</v>
      </c>
      <c r="L9" s="48">
        <v>30</v>
      </c>
      <c r="M9" s="48">
        <f t="shared" si="2"/>
        <v>450</v>
      </c>
      <c r="N9" s="9">
        <v>40</v>
      </c>
      <c r="O9" s="9">
        <f t="shared" si="3"/>
        <v>500</v>
      </c>
      <c r="P9" s="25">
        <v>50</v>
      </c>
      <c r="Q9" s="42">
        <f t="shared" si="4"/>
        <v>550</v>
      </c>
      <c r="R9" s="39">
        <v>100</v>
      </c>
      <c r="S9" s="43">
        <f t="shared" si="5"/>
        <v>800</v>
      </c>
      <c r="T9" s="27"/>
      <c r="U9" s="41">
        <v>150</v>
      </c>
      <c r="V9" s="44">
        <f t="shared" si="6"/>
        <v>1050</v>
      </c>
      <c r="W9" s="27"/>
      <c r="X9" s="41">
        <v>200</v>
      </c>
      <c r="Y9" s="44">
        <f t="shared" si="7"/>
        <v>1300</v>
      </c>
      <c r="Z9" s="27"/>
      <c r="AA9" s="26"/>
      <c r="AB9" s="26"/>
    </row>
    <row r="10" spans="1:28" x14ac:dyDescent="0.25">
      <c r="A10" s="5">
        <v>408</v>
      </c>
      <c r="B10" s="12" t="s">
        <v>232</v>
      </c>
      <c r="C10" s="6" t="s">
        <v>8</v>
      </c>
      <c r="D10" s="6" t="s">
        <v>9</v>
      </c>
      <c r="E10" s="7" t="s">
        <v>62</v>
      </c>
      <c r="F10" s="13">
        <v>200</v>
      </c>
      <c r="G10" s="13">
        <v>150</v>
      </c>
      <c r="H10" s="13">
        <f t="shared" si="0"/>
        <v>350</v>
      </c>
      <c r="I10" s="47">
        <v>5</v>
      </c>
      <c r="J10" s="17">
        <v>20</v>
      </c>
      <c r="K10" s="17">
        <f t="shared" si="1"/>
        <v>450</v>
      </c>
      <c r="L10" s="48">
        <v>30</v>
      </c>
      <c r="M10" s="48">
        <f t="shared" si="2"/>
        <v>500</v>
      </c>
      <c r="N10" s="9">
        <v>40</v>
      </c>
      <c r="O10" s="9">
        <f t="shared" si="3"/>
        <v>550</v>
      </c>
      <c r="P10" s="25">
        <v>50</v>
      </c>
      <c r="Q10" s="42">
        <f t="shared" si="4"/>
        <v>600</v>
      </c>
      <c r="R10" s="39">
        <v>100</v>
      </c>
      <c r="S10" s="43">
        <f t="shared" si="5"/>
        <v>850</v>
      </c>
      <c r="T10" s="27"/>
      <c r="U10" s="41">
        <v>150</v>
      </c>
      <c r="V10" s="44">
        <f t="shared" si="6"/>
        <v>1100</v>
      </c>
      <c r="W10" s="27"/>
      <c r="X10" s="41">
        <v>200</v>
      </c>
      <c r="Y10" s="44">
        <f t="shared" si="7"/>
        <v>1350</v>
      </c>
      <c r="Z10" s="27"/>
      <c r="AA10" s="26"/>
      <c r="AB10" s="26"/>
    </row>
    <row r="11" spans="1:28" x14ac:dyDescent="0.25">
      <c r="A11" s="11">
        <v>409</v>
      </c>
      <c r="B11" s="12" t="s">
        <v>19</v>
      </c>
      <c r="C11" s="6" t="s">
        <v>8</v>
      </c>
      <c r="D11" s="6" t="s">
        <v>9</v>
      </c>
      <c r="E11" s="7" t="s">
        <v>62</v>
      </c>
      <c r="F11" s="13">
        <v>200</v>
      </c>
      <c r="G11" s="13">
        <v>150</v>
      </c>
      <c r="H11" s="13">
        <f t="shared" si="0"/>
        <v>350</v>
      </c>
      <c r="I11" s="47">
        <v>10</v>
      </c>
      <c r="J11" s="17">
        <v>20</v>
      </c>
      <c r="K11" s="17">
        <f t="shared" si="1"/>
        <v>550</v>
      </c>
      <c r="L11" s="48">
        <v>30</v>
      </c>
      <c r="M11" s="48">
        <f t="shared" si="2"/>
        <v>650</v>
      </c>
      <c r="N11" s="9">
        <v>40</v>
      </c>
      <c r="O11" s="9">
        <f t="shared" si="3"/>
        <v>750</v>
      </c>
      <c r="P11" s="25">
        <v>50</v>
      </c>
      <c r="Q11" s="42">
        <f t="shared" si="4"/>
        <v>850</v>
      </c>
      <c r="R11" s="39">
        <v>100</v>
      </c>
      <c r="S11" s="43">
        <f t="shared" si="5"/>
        <v>1350</v>
      </c>
      <c r="T11" s="27"/>
      <c r="U11" s="41">
        <v>150</v>
      </c>
      <c r="V11" s="44">
        <f t="shared" si="6"/>
        <v>1850</v>
      </c>
      <c r="W11" s="27"/>
      <c r="X11" s="41">
        <v>200</v>
      </c>
      <c r="Y11" s="44">
        <f t="shared" si="7"/>
        <v>2350</v>
      </c>
      <c r="Z11" s="27"/>
      <c r="AA11" s="26"/>
      <c r="AB11" s="26"/>
    </row>
    <row r="12" spans="1:28" x14ac:dyDescent="0.25">
      <c r="A12" s="5">
        <v>410</v>
      </c>
      <c r="B12" s="12" t="s">
        <v>18</v>
      </c>
      <c r="C12" s="6" t="s">
        <v>8</v>
      </c>
      <c r="D12" s="6" t="s">
        <v>9</v>
      </c>
      <c r="E12" s="7" t="s">
        <v>62</v>
      </c>
      <c r="F12" s="13">
        <v>150</v>
      </c>
      <c r="G12" s="13">
        <v>150</v>
      </c>
      <c r="H12" s="13">
        <f>SUM(F12:G12)</f>
        <v>300</v>
      </c>
      <c r="I12" s="47">
        <v>12</v>
      </c>
      <c r="J12" s="17">
        <v>20</v>
      </c>
      <c r="K12" s="17">
        <f>(J12*I12)+H12</f>
        <v>540</v>
      </c>
      <c r="L12" s="48">
        <v>30</v>
      </c>
      <c r="M12" s="48">
        <f>(L12*I12)+H12</f>
        <v>660</v>
      </c>
      <c r="N12" s="9">
        <v>40</v>
      </c>
      <c r="O12" s="9">
        <f>(N12*I12)+H12</f>
        <v>780</v>
      </c>
      <c r="P12" s="25">
        <v>50</v>
      </c>
      <c r="Q12" s="42">
        <f>(P12*I12)+H12</f>
        <v>900</v>
      </c>
      <c r="R12" s="39">
        <v>100</v>
      </c>
      <c r="S12" s="43">
        <f>(R12*I12)+H12</f>
        <v>1500</v>
      </c>
      <c r="T12" s="27"/>
      <c r="U12" s="41">
        <v>150</v>
      </c>
      <c r="V12" s="44">
        <f>(U12*I12)+H12</f>
        <v>2100</v>
      </c>
      <c r="W12" s="27"/>
      <c r="X12" s="41">
        <v>200</v>
      </c>
      <c r="Y12" s="44">
        <f>(X12*I12)+H12</f>
        <v>2700</v>
      </c>
      <c r="Z12" s="27"/>
      <c r="AA12" s="26"/>
      <c r="AB12" s="26"/>
    </row>
    <row r="13" spans="1:28" x14ac:dyDescent="0.25">
      <c r="A13" s="11">
        <v>411</v>
      </c>
      <c r="B13" s="12" t="s">
        <v>20</v>
      </c>
      <c r="C13" s="6" t="s">
        <v>8</v>
      </c>
      <c r="D13" s="6" t="s">
        <v>9</v>
      </c>
      <c r="E13" s="7" t="s">
        <v>62</v>
      </c>
      <c r="F13" s="13">
        <v>200</v>
      </c>
      <c r="G13" s="13">
        <v>150</v>
      </c>
      <c r="H13" s="13">
        <f>SUM(F13:G13)</f>
        <v>350</v>
      </c>
      <c r="I13" s="47">
        <v>15</v>
      </c>
      <c r="J13" s="17">
        <v>20</v>
      </c>
      <c r="K13" s="17">
        <f>(J13*I13)+H13</f>
        <v>650</v>
      </c>
      <c r="L13" s="48">
        <v>30</v>
      </c>
      <c r="M13" s="48">
        <f>(L13*I13)+H13</f>
        <v>800</v>
      </c>
      <c r="N13" s="9">
        <v>40</v>
      </c>
      <c r="O13" s="9">
        <f>(N13*I13)+H13</f>
        <v>950</v>
      </c>
      <c r="P13" s="25">
        <v>50</v>
      </c>
      <c r="Q13" s="42">
        <f>(P13*I13)+H13</f>
        <v>1100</v>
      </c>
      <c r="R13" s="39">
        <v>100</v>
      </c>
      <c r="S13" s="43">
        <f>(R13*I13)+H13</f>
        <v>1850</v>
      </c>
      <c r="T13" s="27"/>
      <c r="U13" s="41">
        <v>150</v>
      </c>
      <c r="V13" s="44">
        <f>(U13*I13)+H13</f>
        <v>2600</v>
      </c>
      <c r="W13" s="27"/>
      <c r="X13" s="41">
        <v>200</v>
      </c>
      <c r="Y13" s="44">
        <f>(X13*I13)+H13</f>
        <v>3350</v>
      </c>
      <c r="Z13" s="27"/>
      <c r="AA13" s="26"/>
      <c r="AB13" s="26"/>
    </row>
    <row r="18" spans="1:28" x14ac:dyDescent="0.25">
      <c r="A18" s="5">
        <v>412</v>
      </c>
      <c r="B18" s="12" t="s">
        <v>21</v>
      </c>
      <c r="C18" s="6" t="s">
        <v>8</v>
      </c>
      <c r="D18" s="6" t="s">
        <v>9</v>
      </c>
      <c r="E18" s="7" t="s">
        <v>62</v>
      </c>
      <c r="F18" s="13">
        <v>200</v>
      </c>
      <c r="G18" s="13">
        <v>150</v>
      </c>
      <c r="H18" s="13">
        <f t="shared" si="0"/>
        <v>350</v>
      </c>
      <c r="I18" s="47">
        <v>10</v>
      </c>
      <c r="J18" s="17">
        <v>20</v>
      </c>
      <c r="K18" s="17">
        <f t="shared" si="1"/>
        <v>550</v>
      </c>
      <c r="L18" s="48">
        <v>30</v>
      </c>
      <c r="M18" s="48">
        <f t="shared" si="2"/>
        <v>650</v>
      </c>
      <c r="N18" s="9">
        <v>40</v>
      </c>
      <c r="O18" s="9">
        <f t="shared" si="3"/>
        <v>750</v>
      </c>
      <c r="P18" s="25">
        <v>50</v>
      </c>
      <c r="Q18" s="42">
        <f t="shared" si="4"/>
        <v>850</v>
      </c>
      <c r="R18" s="39">
        <v>100</v>
      </c>
      <c r="S18" s="43">
        <f t="shared" si="5"/>
        <v>1350</v>
      </c>
      <c r="T18" s="27"/>
      <c r="U18" s="41">
        <v>150</v>
      </c>
      <c r="V18" s="44">
        <f t="shared" si="6"/>
        <v>1850</v>
      </c>
      <c r="W18" s="27"/>
      <c r="X18" s="41">
        <v>200</v>
      </c>
      <c r="Y18" s="44">
        <f t="shared" si="7"/>
        <v>2350</v>
      </c>
      <c r="Z18" s="27"/>
      <c r="AA18" s="26"/>
      <c r="AB18" s="26"/>
    </row>
    <row r="19" spans="1:28" x14ac:dyDescent="0.25">
      <c r="A19" s="11">
        <v>413</v>
      </c>
      <c r="B19" s="12" t="s">
        <v>22</v>
      </c>
      <c r="C19" s="6" t="s">
        <v>8</v>
      </c>
      <c r="D19" s="6" t="s">
        <v>9</v>
      </c>
      <c r="E19" s="7" t="s">
        <v>62</v>
      </c>
      <c r="F19" s="13">
        <v>200</v>
      </c>
      <c r="G19" s="13">
        <v>150</v>
      </c>
      <c r="H19" s="13">
        <f t="shared" si="0"/>
        <v>350</v>
      </c>
      <c r="I19" s="47">
        <v>10</v>
      </c>
      <c r="J19" s="17">
        <v>20</v>
      </c>
      <c r="K19" s="17">
        <f t="shared" si="1"/>
        <v>550</v>
      </c>
      <c r="L19" s="48">
        <v>30</v>
      </c>
      <c r="M19" s="48">
        <f t="shared" si="2"/>
        <v>650</v>
      </c>
      <c r="N19" s="9">
        <v>40</v>
      </c>
      <c r="O19" s="9">
        <f t="shared" si="3"/>
        <v>750</v>
      </c>
      <c r="P19" s="25">
        <v>50</v>
      </c>
      <c r="Q19" s="42">
        <f t="shared" si="4"/>
        <v>850</v>
      </c>
      <c r="R19" s="39">
        <v>100</v>
      </c>
      <c r="S19" s="43">
        <f t="shared" si="5"/>
        <v>1350</v>
      </c>
      <c r="T19" s="27"/>
      <c r="U19" s="41">
        <v>150</v>
      </c>
      <c r="V19" s="44">
        <f t="shared" si="6"/>
        <v>1850</v>
      </c>
      <c r="W19" s="27"/>
      <c r="X19" s="41">
        <v>200</v>
      </c>
      <c r="Y19" s="44">
        <f t="shared" si="7"/>
        <v>2350</v>
      </c>
      <c r="Z19" s="27"/>
      <c r="AA19" s="26"/>
      <c r="AB19" s="26"/>
    </row>
    <row r="20" spans="1:28" x14ac:dyDescent="0.25">
      <c r="A20" s="5">
        <v>414</v>
      </c>
      <c r="B20" s="6" t="s">
        <v>50</v>
      </c>
      <c r="C20" s="6" t="s">
        <v>8</v>
      </c>
      <c r="D20" s="6" t="s">
        <v>9</v>
      </c>
      <c r="E20" s="7" t="s">
        <v>62</v>
      </c>
      <c r="F20" s="13">
        <v>200</v>
      </c>
      <c r="G20" s="13">
        <v>150</v>
      </c>
      <c r="H20" s="13">
        <f t="shared" si="0"/>
        <v>350</v>
      </c>
      <c r="I20" s="47">
        <v>5</v>
      </c>
      <c r="J20" s="17">
        <v>20</v>
      </c>
      <c r="K20" s="17">
        <f t="shared" si="1"/>
        <v>450</v>
      </c>
      <c r="L20" s="48">
        <v>30</v>
      </c>
      <c r="M20" s="48">
        <f t="shared" si="2"/>
        <v>500</v>
      </c>
      <c r="N20" s="9">
        <v>40</v>
      </c>
      <c r="O20" s="9">
        <f t="shared" si="3"/>
        <v>550</v>
      </c>
      <c r="P20" s="25">
        <v>50</v>
      </c>
      <c r="Q20" s="42">
        <f t="shared" si="4"/>
        <v>600</v>
      </c>
      <c r="R20" s="39">
        <v>100</v>
      </c>
      <c r="S20" s="43">
        <f t="shared" si="5"/>
        <v>850</v>
      </c>
      <c r="T20" s="27"/>
      <c r="U20" s="41">
        <v>150</v>
      </c>
      <c r="V20" s="44">
        <f t="shared" si="6"/>
        <v>1100</v>
      </c>
      <c r="W20" s="27"/>
      <c r="X20" s="41">
        <v>200</v>
      </c>
      <c r="Y20" s="44">
        <f t="shared" si="7"/>
        <v>1350</v>
      </c>
      <c r="Z20" s="27"/>
      <c r="AA20" s="26"/>
      <c r="AB20" s="26"/>
    </row>
    <row r="21" spans="1:28" x14ac:dyDescent="0.25">
      <c r="A21" s="11">
        <v>415</v>
      </c>
      <c r="B21" s="12" t="s">
        <v>51</v>
      </c>
      <c r="C21" s="6" t="s">
        <v>8</v>
      </c>
      <c r="D21" s="6" t="s">
        <v>9</v>
      </c>
      <c r="E21" s="7" t="s">
        <v>62</v>
      </c>
      <c r="F21" s="13">
        <v>200</v>
      </c>
      <c r="G21" s="13">
        <v>150</v>
      </c>
      <c r="H21" s="13">
        <f t="shared" si="0"/>
        <v>350</v>
      </c>
      <c r="I21" s="47">
        <v>5</v>
      </c>
      <c r="J21" s="17">
        <v>20</v>
      </c>
      <c r="K21" s="17">
        <f t="shared" si="1"/>
        <v>450</v>
      </c>
      <c r="L21" s="48">
        <v>30</v>
      </c>
      <c r="M21" s="48">
        <f t="shared" si="2"/>
        <v>500</v>
      </c>
      <c r="N21" s="9">
        <v>40</v>
      </c>
      <c r="O21" s="9">
        <f t="shared" si="3"/>
        <v>550</v>
      </c>
      <c r="P21" s="25">
        <v>50</v>
      </c>
      <c r="Q21" s="42">
        <f t="shared" si="4"/>
        <v>600</v>
      </c>
      <c r="R21" s="39">
        <v>100</v>
      </c>
      <c r="S21" s="43">
        <f t="shared" si="5"/>
        <v>850</v>
      </c>
      <c r="T21" s="27"/>
      <c r="U21" s="41">
        <v>150</v>
      </c>
      <c r="V21" s="44">
        <f t="shared" si="6"/>
        <v>1100</v>
      </c>
      <c r="W21" s="27"/>
      <c r="X21" s="41">
        <v>200</v>
      </c>
      <c r="Y21" s="44">
        <f t="shared" si="7"/>
        <v>1350</v>
      </c>
      <c r="Z21" s="27"/>
      <c r="AA21" s="26"/>
      <c r="AB21" s="26"/>
    </row>
    <row r="22" spans="1:28" x14ac:dyDescent="0.25">
      <c r="A22" s="5">
        <v>416</v>
      </c>
      <c r="B22" s="12" t="s">
        <v>52</v>
      </c>
      <c r="C22" s="6" t="s">
        <v>8</v>
      </c>
      <c r="D22" s="6" t="s">
        <v>9</v>
      </c>
      <c r="E22" s="7" t="s">
        <v>62</v>
      </c>
      <c r="F22" s="13">
        <v>200</v>
      </c>
      <c r="G22" s="13">
        <v>150</v>
      </c>
      <c r="H22" s="13">
        <f t="shared" si="0"/>
        <v>350</v>
      </c>
      <c r="I22" s="47">
        <v>10</v>
      </c>
      <c r="J22" s="17">
        <v>20</v>
      </c>
      <c r="K22" s="17">
        <f t="shared" si="1"/>
        <v>550</v>
      </c>
      <c r="L22" s="48">
        <v>30</v>
      </c>
      <c r="M22" s="48">
        <f t="shared" si="2"/>
        <v>650</v>
      </c>
      <c r="N22" s="9">
        <v>40</v>
      </c>
      <c r="O22" s="9">
        <f t="shared" si="3"/>
        <v>750</v>
      </c>
      <c r="P22" s="25">
        <v>50</v>
      </c>
      <c r="Q22" s="42">
        <f t="shared" si="4"/>
        <v>850</v>
      </c>
      <c r="R22" s="39">
        <v>100</v>
      </c>
      <c r="S22" s="43">
        <f>(R22*I22)+H22+300</f>
        <v>1650</v>
      </c>
      <c r="T22" s="27" t="s">
        <v>76</v>
      </c>
      <c r="U22" s="41">
        <v>150</v>
      </c>
      <c r="V22" s="44">
        <f>(U22*I22)+H22+300</f>
        <v>2150</v>
      </c>
      <c r="W22" s="27" t="s">
        <v>76</v>
      </c>
      <c r="X22" s="41">
        <v>200</v>
      </c>
      <c r="Y22" s="44">
        <f>(X22*I22)+H22+300</f>
        <v>2650</v>
      </c>
      <c r="Z22" s="27" t="s">
        <v>76</v>
      </c>
      <c r="AA22" s="26"/>
      <c r="AB22" s="26"/>
    </row>
    <row r="23" spans="1:28" x14ac:dyDescent="0.25">
      <c r="A23" s="11">
        <v>417</v>
      </c>
      <c r="B23" s="12" t="s">
        <v>53</v>
      </c>
      <c r="C23" s="6" t="s">
        <v>8</v>
      </c>
      <c r="D23" s="6" t="s">
        <v>9</v>
      </c>
      <c r="E23" s="7" t="s">
        <v>62</v>
      </c>
      <c r="F23" s="13">
        <v>200</v>
      </c>
      <c r="G23" s="13">
        <v>150</v>
      </c>
      <c r="H23" s="13">
        <f t="shared" si="0"/>
        <v>350</v>
      </c>
      <c r="I23" s="47">
        <v>10</v>
      </c>
      <c r="J23" s="17">
        <v>20</v>
      </c>
      <c r="K23" s="17">
        <f t="shared" si="1"/>
        <v>550</v>
      </c>
      <c r="L23" s="48">
        <v>30</v>
      </c>
      <c r="M23" s="48">
        <f t="shared" si="2"/>
        <v>650</v>
      </c>
      <c r="N23" s="9">
        <v>40</v>
      </c>
      <c r="O23" s="9">
        <f t="shared" si="3"/>
        <v>750</v>
      </c>
      <c r="P23" s="25">
        <v>50</v>
      </c>
      <c r="Q23" s="42">
        <f t="shared" si="4"/>
        <v>850</v>
      </c>
      <c r="R23" s="39">
        <v>100</v>
      </c>
      <c r="S23" s="43">
        <f t="shared" si="5"/>
        <v>1350</v>
      </c>
      <c r="T23" s="27"/>
      <c r="U23" s="41">
        <v>150</v>
      </c>
      <c r="V23" s="44">
        <f t="shared" si="6"/>
        <v>1850</v>
      </c>
      <c r="W23" s="27"/>
      <c r="X23" s="41">
        <v>200</v>
      </c>
      <c r="Y23" s="44">
        <f t="shared" si="7"/>
        <v>2350</v>
      </c>
      <c r="Z23" s="27"/>
      <c r="AA23" s="26"/>
      <c r="AB23" s="26"/>
    </row>
    <row r="24" spans="1:28" x14ac:dyDescent="0.25">
      <c r="A24" s="5">
        <v>418</v>
      </c>
      <c r="B24" s="12" t="s">
        <v>54</v>
      </c>
      <c r="C24" s="6" t="s">
        <v>8</v>
      </c>
      <c r="D24" s="6" t="s">
        <v>9</v>
      </c>
      <c r="E24" s="7" t="s">
        <v>62</v>
      </c>
      <c r="F24" s="13">
        <v>200</v>
      </c>
      <c r="G24" s="13">
        <v>150</v>
      </c>
      <c r="H24" s="13">
        <f t="shared" si="0"/>
        <v>350</v>
      </c>
      <c r="I24" s="47">
        <v>10</v>
      </c>
      <c r="J24" s="17">
        <v>20</v>
      </c>
      <c r="K24" s="17">
        <f t="shared" si="1"/>
        <v>550</v>
      </c>
      <c r="L24" s="48">
        <v>30</v>
      </c>
      <c r="M24" s="48">
        <f t="shared" si="2"/>
        <v>650</v>
      </c>
      <c r="N24" s="9">
        <v>40</v>
      </c>
      <c r="O24" s="9">
        <f t="shared" si="3"/>
        <v>750</v>
      </c>
      <c r="P24" s="25">
        <v>50</v>
      </c>
      <c r="Q24" s="42">
        <f t="shared" si="4"/>
        <v>850</v>
      </c>
      <c r="R24" s="39">
        <v>100</v>
      </c>
      <c r="S24" s="43">
        <f t="shared" si="5"/>
        <v>1350</v>
      </c>
      <c r="T24" s="27"/>
      <c r="U24" s="41">
        <v>150</v>
      </c>
      <c r="V24" s="44">
        <f t="shared" si="6"/>
        <v>1850</v>
      </c>
      <c r="W24" s="27"/>
      <c r="X24" s="41">
        <v>200</v>
      </c>
      <c r="Y24" s="44">
        <f t="shared" si="7"/>
        <v>2350</v>
      </c>
      <c r="Z24" s="27"/>
      <c r="AA24" s="26"/>
      <c r="AB24" s="26"/>
    </row>
    <row r="25" spans="1:28" x14ac:dyDescent="0.25">
      <c r="A25" s="11">
        <v>419</v>
      </c>
      <c r="B25" s="12" t="s">
        <v>55</v>
      </c>
      <c r="C25" s="6" t="s">
        <v>8</v>
      </c>
      <c r="D25" s="6" t="s">
        <v>9</v>
      </c>
      <c r="E25" s="7" t="s">
        <v>62</v>
      </c>
      <c r="F25" s="13">
        <v>200</v>
      </c>
      <c r="G25" s="13">
        <v>150</v>
      </c>
      <c r="H25" s="13">
        <f t="shared" si="0"/>
        <v>350</v>
      </c>
      <c r="I25" s="47">
        <v>10</v>
      </c>
      <c r="J25" s="17">
        <v>20</v>
      </c>
      <c r="K25" s="17">
        <f t="shared" si="1"/>
        <v>550</v>
      </c>
      <c r="L25" s="48">
        <v>30</v>
      </c>
      <c r="M25" s="48">
        <f t="shared" si="2"/>
        <v>650</v>
      </c>
      <c r="N25" s="9">
        <v>40</v>
      </c>
      <c r="O25" s="9">
        <f t="shared" si="3"/>
        <v>750</v>
      </c>
      <c r="P25" s="25">
        <v>50</v>
      </c>
      <c r="Q25" s="42">
        <f t="shared" si="4"/>
        <v>850</v>
      </c>
      <c r="R25" s="39">
        <v>100</v>
      </c>
      <c r="S25" s="43">
        <f t="shared" si="5"/>
        <v>1350</v>
      </c>
      <c r="T25" s="27"/>
      <c r="U25" s="41">
        <v>150</v>
      </c>
      <c r="V25" s="44">
        <f t="shared" si="6"/>
        <v>1850</v>
      </c>
      <c r="W25" s="27"/>
      <c r="X25" s="41">
        <v>200</v>
      </c>
      <c r="Y25" s="44">
        <f t="shared" si="7"/>
        <v>2350</v>
      </c>
      <c r="Z25" s="27"/>
      <c r="AA25" s="26"/>
      <c r="AB25" s="26"/>
    </row>
    <row r="26" spans="1:28" x14ac:dyDescent="0.25">
      <c r="A26" s="5">
        <v>420</v>
      </c>
      <c r="B26" s="12" t="s">
        <v>56</v>
      </c>
      <c r="C26" s="6" t="s">
        <v>8</v>
      </c>
      <c r="D26" s="6" t="s">
        <v>9</v>
      </c>
      <c r="E26" s="7" t="s">
        <v>62</v>
      </c>
      <c r="F26" s="13">
        <v>200</v>
      </c>
      <c r="G26" s="13">
        <v>150</v>
      </c>
      <c r="H26" s="13">
        <f t="shared" si="0"/>
        <v>350</v>
      </c>
      <c r="I26" s="47">
        <v>10</v>
      </c>
      <c r="J26" s="17">
        <v>20</v>
      </c>
      <c r="K26" s="17">
        <f t="shared" si="1"/>
        <v>550</v>
      </c>
      <c r="L26" s="48">
        <v>30</v>
      </c>
      <c r="M26" s="48">
        <f t="shared" si="2"/>
        <v>650</v>
      </c>
      <c r="N26" s="9">
        <v>40</v>
      </c>
      <c r="O26" s="9">
        <f t="shared" si="3"/>
        <v>750</v>
      </c>
      <c r="P26" s="25">
        <v>50</v>
      </c>
      <c r="Q26" s="42">
        <f t="shared" si="4"/>
        <v>850</v>
      </c>
      <c r="R26" s="39">
        <v>100</v>
      </c>
      <c r="S26" s="43">
        <f t="shared" si="5"/>
        <v>1350</v>
      </c>
      <c r="T26" s="27"/>
      <c r="U26" s="41">
        <v>150</v>
      </c>
      <c r="V26" s="44">
        <f t="shared" si="6"/>
        <v>1850</v>
      </c>
      <c r="W26" s="27"/>
      <c r="X26" s="41">
        <v>200</v>
      </c>
      <c r="Y26" s="44">
        <f t="shared" si="7"/>
        <v>2350</v>
      </c>
      <c r="Z26" s="27"/>
      <c r="AA26" s="26"/>
      <c r="AB26" s="26"/>
    </row>
    <row r="27" spans="1:28" x14ac:dyDescent="0.25">
      <c r="A27" s="11">
        <v>421</v>
      </c>
      <c r="B27" s="12" t="s">
        <v>57</v>
      </c>
      <c r="C27" s="6" t="s">
        <v>8</v>
      </c>
      <c r="D27" s="6" t="s">
        <v>9</v>
      </c>
      <c r="E27" s="7" t="s">
        <v>62</v>
      </c>
      <c r="F27" s="13">
        <v>200</v>
      </c>
      <c r="G27" s="13">
        <v>150</v>
      </c>
      <c r="H27" s="13">
        <f t="shared" si="0"/>
        <v>350</v>
      </c>
      <c r="I27" s="47">
        <v>10</v>
      </c>
      <c r="J27" s="17">
        <v>20</v>
      </c>
      <c r="K27" s="17">
        <f t="shared" si="1"/>
        <v>550</v>
      </c>
      <c r="L27" s="48">
        <v>30</v>
      </c>
      <c r="M27" s="48">
        <f t="shared" si="2"/>
        <v>650</v>
      </c>
      <c r="N27" s="9">
        <v>40</v>
      </c>
      <c r="O27" s="9">
        <f t="shared" si="3"/>
        <v>750</v>
      </c>
      <c r="P27" s="25">
        <v>50</v>
      </c>
      <c r="Q27" s="42">
        <f t="shared" si="4"/>
        <v>850</v>
      </c>
      <c r="R27" s="39">
        <v>100</v>
      </c>
      <c r="S27" s="43">
        <f t="shared" si="5"/>
        <v>1350</v>
      </c>
      <c r="T27" s="27"/>
      <c r="U27" s="41">
        <v>150</v>
      </c>
      <c r="V27" s="44">
        <f t="shared" si="6"/>
        <v>1850</v>
      </c>
      <c r="W27" s="27"/>
      <c r="X27" s="41">
        <v>200</v>
      </c>
      <c r="Y27" s="44">
        <f t="shared" si="7"/>
        <v>2350</v>
      </c>
      <c r="Z27" s="27"/>
      <c r="AA27" s="26"/>
      <c r="AB27" s="26"/>
    </row>
    <row r="28" spans="1:28" x14ac:dyDescent="0.25">
      <c r="A28" s="5">
        <v>422</v>
      </c>
      <c r="B28" s="12" t="s">
        <v>58</v>
      </c>
      <c r="C28" s="6" t="s">
        <v>8</v>
      </c>
      <c r="D28" s="6" t="s">
        <v>9</v>
      </c>
      <c r="E28" s="7" t="s">
        <v>62</v>
      </c>
      <c r="F28" s="13">
        <v>200</v>
      </c>
      <c r="G28" s="13">
        <v>150</v>
      </c>
      <c r="H28" s="13">
        <f t="shared" si="0"/>
        <v>350</v>
      </c>
      <c r="I28" s="47">
        <v>12</v>
      </c>
      <c r="J28" s="17">
        <v>20</v>
      </c>
      <c r="K28" s="17">
        <f t="shared" si="1"/>
        <v>590</v>
      </c>
      <c r="L28" s="48">
        <v>30</v>
      </c>
      <c r="M28" s="48">
        <f t="shared" si="2"/>
        <v>710</v>
      </c>
      <c r="N28" s="9">
        <v>40</v>
      </c>
      <c r="O28" s="9">
        <f t="shared" si="3"/>
        <v>830</v>
      </c>
      <c r="P28" s="25">
        <v>50</v>
      </c>
      <c r="Q28" s="42">
        <f t="shared" si="4"/>
        <v>950</v>
      </c>
      <c r="R28" s="39">
        <v>100</v>
      </c>
      <c r="S28" s="43">
        <f t="shared" si="5"/>
        <v>1550</v>
      </c>
      <c r="T28" s="27"/>
      <c r="U28" s="41">
        <v>150</v>
      </c>
      <c r="V28" s="44">
        <f t="shared" si="6"/>
        <v>2150</v>
      </c>
      <c r="W28" s="27"/>
      <c r="X28" s="41">
        <v>200</v>
      </c>
      <c r="Y28" s="44">
        <f t="shared" si="7"/>
        <v>2750</v>
      </c>
      <c r="Z28" s="27"/>
      <c r="AA28" s="26"/>
      <c r="AB28" s="26"/>
    </row>
    <row r="31" spans="1:28" x14ac:dyDescent="0.25">
      <c r="Q31" s="4">
        <v>850</v>
      </c>
    </row>
    <row r="32" spans="1:28" x14ac:dyDescent="0.25">
      <c r="Q32" s="4">
        <v>850</v>
      </c>
    </row>
    <row r="33" spans="17:17" x14ac:dyDescent="0.25">
      <c r="Q33" s="4">
        <v>550</v>
      </c>
    </row>
    <row r="34" spans="17:17" x14ac:dyDescent="0.25">
      <c r="Q34" s="4">
        <v>550</v>
      </c>
    </row>
    <row r="35" spans="17:17" x14ac:dyDescent="0.25">
      <c r="Q35" s="4">
        <v>550</v>
      </c>
    </row>
    <row r="36" spans="17:17" x14ac:dyDescent="0.25">
      <c r="Q36" s="4">
        <f>SUM(Q31:Q35)</f>
        <v>3350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4E2F4-01DE-4C42-A9AC-F7210DB8B2DE}">
  <dimension ref="A1:T30"/>
  <sheetViews>
    <sheetView workbookViewId="0">
      <selection activeCell="B17" sqref="B17"/>
    </sheetView>
  </sheetViews>
  <sheetFormatPr defaultColWidth="2.28515625" defaultRowHeight="15.75" x14ac:dyDescent="0.25"/>
  <cols>
    <col min="1" max="1" width="5.5703125" style="4" bestFit="1" customWidth="1"/>
    <col min="2" max="2" width="35.7109375" style="4" bestFit="1" customWidth="1"/>
    <col min="3" max="3" width="10.85546875" style="4" bestFit="1" customWidth="1"/>
    <col min="4" max="4" width="10.28515625" style="4" bestFit="1" customWidth="1"/>
    <col min="5" max="5" width="10.28515625" style="4" customWidth="1"/>
    <col min="6" max="6" width="93.28515625" style="4" customWidth="1"/>
    <col min="7" max="7" width="9.5703125" style="4" bestFit="1" customWidth="1"/>
    <col min="8" max="8" width="9.28515625" style="4" bestFit="1" customWidth="1"/>
    <col min="9" max="9" width="10.7109375" style="4" bestFit="1" customWidth="1"/>
    <col min="10" max="10" width="10.28515625" style="4" bestFit="1" customWidth="1"/>
    <col min="11" max="11" width="31.5703125" style="4" bestFit="1" customWidth="1"/>
    <col min="12" max="12" width="8.140625" style="4" bestFit="1" customWidth="1"/>
    <col min="13" max="18" width="11.85546875" style="4" bestFit="1" customWidth="1"/>
    <col min="19" max="19" width="16.85546875" style="4" customWidth="1"/>
    <col min="20" max="20" width="19.42578125" style="4" customWidth="1"/>
    <col min="21" max="16384" width="2.28515625" style="4"/>
  </cols>
  <sheetData>
    <row r="1" spans="1:20" ht="30" x14ac:dyDescent="0.25">
      <c r="A1" s="11" t="s">
        <v>0</v>
      </c>
      <c r="B1" s="61" t="s">
        <v>1</v>
      </c>
      <c r="C1" s="61" t="s">
        <v>87</v>
      </c>
      <c r="D1" s="61" t="s">
        <v>203</v>
      </c>
      <c r="E1" s="61" t="s">
        <v>204</v>
      </c>
      <c r="F1" s="61" t="s">
        <v>24</v>
      </c>
      <c r="G1" s="61" t="s">
        <v>2</v>
      </c>
      <c r="H1" s="61" t="s">
        <v>83</v>
      </c>
      <c r="I1" s="8" t="s">
        <v>72</v>
      </c>
      <c r="J1" s="61" t="s">
        <v>23</v>
      </c>
      <c r="K1" s="61" t="s">
        <v>91</v>
      </c>
      <c r="L1" s="61" t="s">
        <v>81</v>
      </c>
      <c r="M1" s="17" t="s">
        <v>208</v>
      </c>
      <c r="N1" s="17" t="s">
        <v>78</v>
      </c>
      <c r="O1" s="17" t="s">
        <v>80</v>
      </c>
      <c r="P1" s="17" t="s">
        <v>79</v>
      </c>
      <c r="Q1" s="17" t="s">
        <v>82</v>
      </c>
      <c r="R1" s="17" t="s">
        <v>217</v>
      </c>
      <c r="S1" s="62" t="s">
        <v>216</v>
      </c>
      <c r="T1" s="16" t="s">
        <v>215</v>
      </c>
    </row>
    <row r="2" spans="1:20" ht="23.1" customHeight="1" x14ac:dyDescent="0.25">
      <c r="A2" s="11">
        <v>200</v>
      </c>
      <c r="B2" s="6" t="s">
        <v>86</v>
      </c>
      <c r="C2" s="6"/>
      <c r="D2" s="14" t="s">
        <v>25</v>
      </c>
      <c r="E2" s="6"/>
      <c r="F2" s="6" t="s">
        <v>90</v>
      </c>
      <c r="G2" s="6" t="s">
        <v>8</v>
      </c>
      <c r="H2" s="6">
        <v>1</v>
      </c>
      <c r="I2" s="8">
        <v>950</v>
      </c>
      <c r="J2" s="6"/>
      <c r="K2" s="6" t="s">
        <v>218</v>
      </c>
      <c r="L2" s="6">
        <v>15</v>
      </c>
      <c r="M2" s="13">
        <f>L2*10</f>
        <v>150</v>
      </c>
      <c r="N2" s="13">
        <f>$L$2*20</f>
        <v>300</v>
      </c>
      <c r="O2" s="13">
        <f>$L$2*30</f>
        <v>450</v>
      </c>
      <c r="P2" s="13">
        <f>$L$2*40</f>
        <v>600</v>
      </c>
      <c r="Q2" s="13">
        <f>$L$2*50</f>
        <v>750</v>
      </c>
      <c r="R2" s="13">
        <v>50</v>
      </c>
      <c r="S2" s="25">
        <v>75</v>
      </c>
      <c r="T2" s="16">
        <v>300</v>
      </c>
    </row>
    <row r="3" spans="1:20" ht="23.1" customHeight="1" x14ac:dyDescent="0.25">
      <c r="A3" s="11">
        <v>201</v>
      </c>
      <c r="B3" s="6" t="s">
        <v>191</v>
      </c>
      <c r="C3" s="6"/>
      <c r="D3" s="14" t="s">
        <v>189</v>
      </c>
      <c r="E3" s="6"/>
      <c r="F3" s="6" t="s">
        <v>195</v>
      </c>
      <c r="G3" s="6" t="s">
        <v>8</v>
      </c>
      <c r="H3" s="6">
        <v>1</v>
      </c>
      <c r="I3" s="8">
        <v>1150</v>
      </c>
      <c r="J3" s="6"/>
      <c r="K3" s="6" t="s">
        <v>26</v>
      </c>
      <c r="L3" s="6">
        <v>15</v>
      </c>
      <c r="M3" s="13">
        <f t="shared" ref="M3:M11" si="0">L3*10</f>
        <v>150</v>
      </c>
      <c r="N3" s="13">
        <f t="shared" ref="N3:N11" si="1">$L$2*20</f>
        <v>300</v>
      </c>
      <c r="O3" s="13">
        <f t="shared" ref="O3:O11" si="2">$L$2*30</f>
        <v>450</v>
      </c>
      <c r="P3" s="13">
        <f t="shared" ref="P3:P11" si="3">$L$2*40</f>
        <v>600</v>
      </c>
      <c r="Q3" s="13">
        <f t="shared" ref="Q3:Q11" si="4">$L$2*50</f>
        <v>750</v>
      </c>
      <c r="R3" s="13">
        <v>50</v>
      </c>
      <c r="S3" s="25">
        <v>75</v>
      </c>
      <c r="T3" s="16">
        <v>300</v>
      </c>
    </row>
    <row r="4" spans="1:20" ht="23.1" customHeight="1" x14ac:dyDescent="0.25">
      <c r="A4" s="11">
        <v>202</v>
      </c>
      <c r="B4" s="6" t="s">
        <v>192</v>
      </c>
      <c r="C4" s="6"/>
      <c r="D4" s="14" t="s">
        <v>190</v>
      </c>
      <c r="E4" s="6"/>
      <c r="F4" s="6" t="s">
        <v>194</v>
      </c>
      <c r="G4" s="6" t="s">
        <v>8</v>
      </c>
      <c r="H4" s="6">
        <v>1</v>
      </c>
      <c r="I4" s="8">
        <v>950</v>
      </c>
      <c r="J4" s="6"/>
      <c r="K4" s="6" t="s">
        <v>26</v>
      </c>
      <c r="L4" s="6">
        <v>15</v>
      </c>
      <c r="M4" s="13">
        <f t="shared" si="0"/>
        <v>150</v>
      </c>
      <c r="N4" s="13">
        <f t="shared" si="1"/>
        <v>300</v>
      </c>
      <c r="O4" s="13">
        <f t="shared" si="2"/>
        <v>450</v>
      </c>
      <c r="P4" s="13">
        <f t="shared" si="3"/>
        <v>600</v>
      </c>
      <c r="Q4" s="13">
        <f t="shared" si="4"/>
        <v>750</v>
      </c>
      <c r="R4" s="13">
        <v>50</v>
      </c>
      <c r="S4" s="25">
        <v>75</v>
      </c>
      <c r="T4" s="16">
        <v>300</v>
      </c>
    </row>
    <row r="5" spans="1:20" x14ac:dyDescent="0.25">
      <c r="A5" s="11">
        <v>203</v>
      </c>
      <c r="B5" s="6" t="s">
        <v>27</v>
      </c>
      <c r="C5" s="6"/>
      <c r="D5" s="14" t="s">
        <v>28</v>
      </c>
      <c r="E5" s="6"/>
      <c r="F5" s="6" t="s">
        <v>193</v>
      </c>
      <c r="G5" s="6" t="s">
        <v>8</v>
      </c>
      <c r="H5" s="6">
        <v>1</v>
      </c>
      <c r="I5" s="8">
        <v>850</v>
      </c>
      <c r="J5" s="6"/>
      <c r="K5" s="6" t="s">
        <v>26</v>
      </c>
      <c r="L5" s="6">
        <v>15</v>
      </c>
      <c r="M5" s="13">
        <f t="shared" si="0"/>
        <v>150</v>
      </c>
      <c r="N5" s="13">
        <f t="shared" si="1"/>
        <v>300</v>
      </c>
      <c r="O5" s="13">
        <f t="shared" si="2"/>
        <v>450</v>
      </c>
      <c r="P5" s="13">
        <f t="shared" si="3"/>
        <v>600</v>
      </c>
      <c r="Q5" s="13">
        <f t="shared" si="4"/>
        <v>750</v>
      </c>
      <c r="R5" s="13">
        <v>50</v>
      </c>
      <c r="S5" s="25">
        <v>75</v>
      </c>
      <c r="T5" s="16">
        <v>300</v>
      </c>
    </row>
    <row r="6" spans="1:20" ht="23.1" customHeight="1" x14ac:dyDescent="0.25">
      <c r="A6" s="11">
        <v>204</v>
      </c>
      <c r="B6" s="6" t="s">
        <v>89</v>
      </c>
      <c r="C6" s="6" t="s">
        <v>88</v>
      </c>
      <c r="D6" s="14" t="s">
        <v>28</v>
      </c>
      <c r="E6" s="6"/>
      <c r="F6" s="55" t="s">
        <v>196</v>
      </c>
      <c r="G6" s="6" t="s">
        <v>8</v>
      </c>
      <c r="H6" s="6">
        <v>1</v>
      </c>
      <c r="I6" s="8">
        <v>750</v>
      </c>
      <c r="J6" s="6"/>
      <c r="K6" s="6" t="s">
        <v>26</v>
      </c>
      <c r="L6" s="6">
        <v>15</v>
      </c>
      <c r="M6" s="13">
        <f t="shared" si="0"/>
        <v>150</v>
      </c>
      <c r="N6" s="13">
        <f t="shared" si="1"/>
        <v>300</v>
      </c>
      <c r="O6" s="13">
        <f t="shared" si="2"/>
        <v>450</v>
      </c>
      <c r="P6" s="13">
        <f t="shared" si="3"/>
        <v>600</v>
      </c>
      <c r="Q6" s="13">
        <f t="shared" si="4"/>
        <v>750</v>
      </c>
      <c r="R6" s="13">
        <v>50</v>
      </c>
      <c r="S6" s="25">
        <v>75</v>
      </c>
      <c r="T6" s="16">
        <v>300</v>
      </c>
    </row>
    <row r="7" spans="1:20" x14ac:dyDescent="0.25">
      <c r="A7" s="11">
        <v>205</v>
      </c>
      <c r="B7" s="6" t="s">
        <v>29</v>
      </c>
      <c r="C7" s="6"/>
      <c r="D7" s="14" t="s">
        <v>30</v>
      </c>
      <c r="E7" s="6"/>
      <c r="F7" s="6" t="s">
        <v>198</v>
      </c>
      <c r="G7" s="6" t="s">
        <v>8</v>
      </c>
      <c r="H7" s="6">
        <v>1</v>
      </c>
      <c r="I7" s="8">
        <v>1150</v>
      </c>
      <c r="J7" s="6"/>
      <c r="K7" s="6" t="s">
        <v>26</v>
      </c>
      <c r="L7" s="6">
        <v>15</v>
      </c>
      <c r="M7" s="13">
        <f t="shared" si="0"/>
        <v>150</v>
      </c>
      <c r="N7" s="13">
        <f t="shared" si="1"/>
        <v>300</v>
      </c>
      <c r="O7" s="13">
        <f t="shared" si="2"/>
        <v>450</v>
      </c>
      <c r="P7" s="13">
        <f t="shared" si="3"/>
        <v>600</v>
      </c>
      <c r="Q7" s="13">
        <f t="shared" si="4"/>
        <v>750</v>
      </c>
      <c r="R7" s="13">
        <v>50</v>
      </c>
      <c r="S7" s="25">
        <v>75</v>
      </c>
      <c r="T7" s="16">
        <v>300</v>
      </c>
    </row>
    <row r="8" spans="1:20" x14ac:dyDescent="0.25">
      <c r="A8" s="11">
        <v>206</v>
      </c>
      <c r="B8" s="6" t="s">
        <v>197</v>
      </c>
      <c r="C8" s="6"/>
      <c r="D8" s="14" t="s">
        <v>84</v>
      </c>
      <c r="E8" s="6" t="s">
        <v>85</v>
      </c>
      <c r="F8" s="6" t="s">
        <v>202</v>
      </c>
      <c r="G8" s="6" t="s">
        <v>8</v>
      </c>
      <c r="H8" s="6">
        <v>1</v>
      </c>
      <c r="I8" s="8">
        <v>850</v>
      </c>
      <c r="J8" s="6" t="s">
        <v>85</v>
      </c>
      <c r="K8" s="6" t="s">
        <v>26</v>
      </c>
      <c r="L8" s="6">
        <v>15</v>
      </c>
      <c r="M8" s="13">
        <f t="shared" si="0"/>
        <v>150</v>
      </c>
      <c r="N8" s="13">
        <f t="shared" si="1"/>
        <v>300</v>
      </c>
      <c r="O8" s="13">
        <f t="shared" si="2"/>
        <v>450</v>
      </c>
      <c r="P8" s="13">
        <f t="shared" si="3"/>
        <v>600</v>
      </c>
      <c r="Q8" s="13">
        <f t="shared" si="4"/>
        <v>750</v>
      </c>
      <c r="R8" s="13">
        <v>50</v>
      </c>
      <c r="S8" s="25">
        <v>75</v>
      </c>
      <c r="T8" s="16">
        <v>300</v>
      </c>
    </row>
    <row r="9" spans="1:20" x14ac:dyDescent="0.25">
      <c r="A9" s="11">
        <v>207</v>
      </c>
      <c r="B9" s="6" t="s">
        <v>199</v>
      </c>
      <c r="C9" s="6"/>
      <c r="D9" s="14" t="s">
        <v>31</v>
      </c>
      <c r="E9" s="6"/>
      <c r="F9" s="6" t="s">
        <v>201</v>
      </c>
      <c r="G9" s="6" t="s">
        <v>8</v>
      </c>
      <c r="H9" s="6" t="s">
        <v>31</v>
      </c>
      <c r="I9" s="8">
        <v>1300</v>
      </c>
      <c r="J9" s="6" t="s">
        <v>31</v>
      </c>
      <c r="K9" s="6" t="s">
        <v>26</v>
      </c>
      <c r="L9" s="6">
        <v>15</v>
      </c>
      <c r="M9" s="13">
        <f t="shared" si="0"/>
        <v>150</v>
      </c>
      <c r="N9" s="13">
        <f t="shared" si="1"/>
        <v>300</v>
      </c>
      <c r="O9" s="13">
        <f t="shared" si="2"/>
        <v>450</v>
      </c>
      <c r="P9" s="13">
        <f t="shared" si="3"/>
        <v>600</v>
      </c>
      <c r="Q9" s="13">
        <f t="shared" si="4"/>
        <v>750</v>
      </c>
      <c r="R9" s="13">
        <v>50</v>
      </c>
      <c r="S9" s="25">
        <v>75</v>
      </c>
      <c r="T9" s="16">
        <v>300</v>
      </c>
    </row>
    <row r="10" spans="1:20" x14ac:dyDescent="0.25">
      <c r="A10" s="11">
        <v>208</v>
      </c>
      <c r="B10" s="6" t="s">
        <v>219</v>
      </c>
      <c r="C10" s="6"/>
      <c r="D10" s="14" t="s">
        <v>32</v>
      </c>
      <c r="E10" s="6"/>
      <c r="F10" s="6" t="s">
        <v>200</v>
      </c>
      <c r="G10" s="6" t="s">
        <v>8</v>
      </c>
      <c r="H10" s="6" t="s">
        <v>32</v>
      </c>
      <c r="I10" s="8">
        <v>1700</v>
      </c>
      <c r="J10" s="6" t="s">
        <v>32</v>
      </c>
      <c r="K10" s="6" t="s">
        <v>26</v>
      </c>
      <c r="L10" s="6">
        <v>15</v>
      </c>
      <c r="M10" s="13">
        <f t="shared" si="0"/>
        <v>150</v>
      </c>
      <c r="N10" s="13">
        <f t="shared" si="1"/>
        <v>300</v>
      </c>
      <c r="O10" s="13">
        <f t="shared" si="2"/>
        <v>450</v>
      </c>
      <c r="P10" s="13">
        <f t="shared" si="3"/>
        <v>600</v>
      </c>
      <c r="Q10" s="13">
        <f t="shared" si="4"/>
        <v>750</v>
      </c>
      <c r="R10" s="13">
        <v>50</v>
      </c>
      <c r="S10" s="25">
        <v>75</v>
      </c>
      <c r="T10" s="16">
        <v>300</v>
      </c>
    </row>
    <row r="11" spans="1:20" x14ac:dyDescent="0.25">
      <c r="A11" s="11">
        <v>209</v>
      </c>
      <c r="B11" s="6" t="s">
        <v>205</v>
      </c>
      <c r="C11" s="12"/>
      <c r="D11" s="14" t="s">
        <v>206</v>
      </c>
      <c r="E11" s="6"/>
      <c r="F11" s="6" t="s">
        <v>207</v>
      </c>
      <c r="G11" s="6" t="s">
        <v>8</v>
      </c>
      <c r="H11" s="6"/>
      <c r="I11" s="8">
        <v>1150</v>
      </c>
      <c r="J11" s="6" t="s">
        <v>40</v>
      </c>
      <c r="K11" s="6" t="s">
        <v>36</v>
      </c>
      <c r="L11" s="6">
        <v>15</v>
      </c>
      <c r="M11" s="13">
        <f t="shared" si="0"/>
        <v>150</v>
      </c>
      <c r="N11" s="13">
        <f t="shared" si="1"/>
        <v>300</v>
      </c>
      <c r="O11" s="13">
        <f t="shared" si="2"/>
        <v>450</v>
      </c>
      <c r="P11" s="13">
        <f t="shared" si="3"/>
        <v>600</v>
      </c>
      <c r="Q11" s="13">
        <f t="shared" si="4"/>
        <v>750</v>
      </c>
      <c r="R11" s="13">
        <v>50</v>
      </c>
      <c r="S11" s="25">
        <v>75</v>
      </c>
      <c r="T11" s="16">
        <v>300</v>
      </c>
    </row>
    <row r="12" spans="1:20" ht="17.25" customHeight="1" x14ac:dyDescent="0.25">
      <c r="A12" s="11">
        <v>210</v>
      </c>
      <c r="B12" s="12" t="s">
        <v>37</v>
      </c>
      <c r="C12" s="12"/>
      <c r="D12" s="14" t="s">
        <v>38</v>
      </c>
      <c r="E12" s="6"/>
      <c r="F12" s="6" t="s">
        <v>220</v>
      </c>
      <c r="G12" s="15" t="s">
        <v>34</v>
      </c>
      <c r="H12" s="6"/>
      <c r="I12" s="8">
        <v>8</v>
      </c>
      <c r="J12" s="6" t="s">
        <v>38</v>
      </c>
      <c r="K12" s="6" t="s">
        <v>39</v>
      </c>
      <c r="L12" s="6"/>
      <c r="M12" s="13"/>
      <c r="N12" s="13"/>
      <c r="O12" s="13"/>
      <c r="P12" s="13"/>
      <c r="Q12" s="13"/>
      <c r="R12" s="13"/>
      <c r="S12" s="25"/>
      <c r="T12" s="16"/>
    </row>
    <row r="13" spans="1:20" x14ac:dyDescent="0.25">
      <c r="A13" s="11">
        <v>211</v>
      </c>
      <c r="B13" s="12" t="s">
        <v>33</v>
      </c>
      <c r="C13" s="12"/>
      <c r="D13" s="14" t="s">
        <v>35</v>
      </c>
      <c r="E13" s="6"/>
      <c r="F13" s="6" t="s">
        <v>35</v>
      </c>
      <c r="G13" s="15" t="s">
        <v>34</v>
      </c>
      <c r="H13" s="6"/>
      <c r="I13" s="8">
        <v>550</v>
      </c>
      <c r="J13" s="6" t="s">
        <v>35</v>
      </c>
      <c r="K13" s="6" t="s">
        <v>36</v>
      </c>
      <c r="L13" s="6"/>
      <c r="M13" s="6"/>
      <c r="N13" s="6"/>
      <c r="O13" s="6"/>
      <c r="P13" s="6"/>
      <c r="Q13" s="6"/>
      <c r="R13" s="6"/>
      <c r="S13" s="6"/>
      <c r="T13" s="16"/>
    </row>
    <row r="14" spans="1:20" x14ac:dyDescent="0.25">
      <c r="A14" s="11">
        <v>212</v>
      </c>
      <c r="B14" s="12" t="s">
        <v>231</v>
      </c>
      <c r="C14" s="12"/>
      <c r="D14" s="14"/>
      <c r="E14" s="6"/>
      <c r="F14" s="6" t="s">
        <v>230</v>
      </c>
      <c r="G14" s="15"/>
      <c r="H14" s="6"/>
      <c r="I14" s="8"/>
      <c r="J14" s="6"/>
      <c r="K14" s="6"/>
      <c r="L14" s="6"/>
      <c r="M14" s="6"/>
      <c r="N14" s="6"/>
      <c r="O14" s="6"/>
      <c r="P14" s="6"/>
      <c r="Q14" s="6"/>
      <c r="R14" s="6"/>
      <c r="S14" s="6"/>
      <c r="T14" s="16"/>
    </row>
    <row r="15" spans="1:20" x14ac:dyDescent="0.25">
      <c r="A15" s="11">
        <v>300</v>
      </c>
      <c r="B15" s="12" t="s">
        <v>41</v>
      </c>
      <c r="C15" s="12"/>
      <c r="D15" s="6" t="s">
        <v>40</v>
      </c>
      <c r="E15" s="6"/>
      <c r="F15" s="10"/>
      <c r="G15" s="6" t="s">
        <v>8</v>
      </c>
      <c r="H15" s="6"/>
      <c r="I15" s="8">
        <v>250</v>
      </c>
      <c r="J15" s="6" t="s">
        <v>40</v>
      </c>
      <c r="K15" s="6" t="s">
        <v>36</v>
      </c>
      <c r="L15" s="6"/>
      <c r="M15" s="13">
        <v>250</v>
      </c>
      <c r="N15" s="13">
        <v>250</v>
      </c>
      <c r="O15" s="13">
        <v>250</v>
      </c>
      <c r="P15" s="13">
        <v>250</v>
      </c>
      <c r="Q15" s="13">
        <v>250</v>
      </c>
      <c r="R15" s="13"/>
      <c r="S15" s="27"/>
    </row>
    <row r="16" spans="1:20" x14ac:dyDescent="0.25">
      <c r="A16" s="11">
        <v>301</v>
      </c>
      <c r="B16" s="12" t="s">
        <v>42</v>
      </c>
      <c r="C16" s="12"/>
      <c r="D16" s="6" t="s">
        <v>40</v>
      </c>
      <c r="E16" s="6"/>
      <c r="F16" s="10"/>
      <c r="G16" s="6" t="s">
        <v>8</v>
      </c>
      <c r="H16" s="6"/>
      <c r="I16" s="8">
        <v>350</v>
      </c>
      <c r="J16" s="6" t="s">
        <v>40</v>
      </c>
      <c r="K16" s="6" t="s">
        <v>36</v>
      </c>
      <c r="L16" s="6"/>
      <c r="M16" s="13">
        <v>350</v>
      </c>
      <c r="N16" s="13">
        <v>350</v>
      </c>
      <c r="O16" s="13">
        <v>350</v>
      </c>
      <c r="P16" s="13">
        <v>350</v>
      </c>
      <c r="Q16" s="13">
        <v>350</v>
      </c>
      <c r="R16" s="13"/>
      <c r="S16" s="27"/>
    </row>
    <row r="18" spans="13:18" x14ac:dyDescent="0.25">
      <c r="O18" s="4">
        <v>5</v>
      </c>
      <c r="P18" s="4" t="s">
        <v>209</v>
      </c>
    </row>
    <row r="19" spans="13:18" x14ac:dyDescent="0.25">
      <c r="M19" s="4">
        <v>10</v>
      </c>
      <c r="O19" s="4">
        <v>5</v>
      </c>
      <c r="P19" s="4" t="s">
        <v>210</v>
      </c>
      <c r="R19" s="4">
        <f>750/50</f>
        <v>15</v>
      </c>
    </row>
    <row r="20" spans="13:18" x14ac:dyDescent="0.25">
      <c r="M20" s="4">
        <v>10</v>
      </c>
      <c r="O20" s="4">
        <v>5</v>
      </c>
      <c r="P20" s="4" t="s">
        <v>211</v>
      </c>
    </row>
    <row r="21" spans="13:18" x14ac:dyDescent="0.25">
      <c r="M21" s="4">
        <v>10</v>
      </c>
      <c r="O21" s="4">
        <v>5</v>
      </c>
      <c r="P21" s="4" t="s">
        <v>212</v>
      </c>
    </row>
    <row r="22" spans="13:18" x14ac:dyDescent="0.25">
      <c r="M22" s="4">
        <f>SUM(M19:M21)</f>
        <v>30</v>
      </c>
      <c r="O22" s="4">
        <v>5</v>
      </c>
      <c r="P22" s="4" t="s">
        <v>213</v>
      </c>
    </row>
    <row r="23" spans="13:18" x14ac:dyDescent="0.25">
      <c r="O23" s="4">
        <v>5</v>
      </c>
      <c r="P23" s="4" t="s">
        <v>214</v>
      </c>
    </row>
    <row r="24" spans="13:18" x14ac:dyDescent="0.25">
      <c r="O24" s="4">
        <f>SUM(O18:O23)</f>
        <v>30</v>
      </c>
    </row>
    <row r="25" spans="13:18" x14ac:dyDescent="0.25">
      <c r="O25" s="4">
        <f>O24/6</f>
        <v>5</v>
      </c>
    </row>
    <row r="26" spans="13:18" x14ac:dyDescent="0.25">
      <c r="O26" s="4">
        <f>O25*40</f>
        <v>200</v>
      </c>
    </row>
    <row r="28" spans="13:18" x14ac:dyDescent="0.25">
      <c r="M28" s="26">
        <f>M2/10</f>
        <v>15</v>
      </c>
      <c r="N28" s="26">
        <f>N2/20</f>
        <v>15</v>
      </c>
      <c r="O28" s="26">
        <f>O2/10</f>
        <v>45</v>
      </c>
      <c r="P28" s="26">
        <f>P2/10</f>
        <v>60</v>
      </c>
      <c r="Q28" s="26">
        <f>Q2/10</f>
        <v>75</v>
      </c>
      <c r="R28" s="26"/>
    </row>
    <row r="30" spans="13:18" x14ac:dyDescent="0.25">
      <c r="M30" s="26">
        <f>M28/1</f>
        <v>15</v>
      </c>
    </row>
  </sheetData>
  <sortState xmlns:xlrd2="http://schemas.microsoft.com/office/spreadsheetml/2017/richdata2" ref="A2:S10">
    <sortCondition ref="A1:A10"/>
  </sortState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C0F9-C27E-44AC-96A4-523F9EEDC9B4}">
  <dimension ref="A1:G20"/>
  <sheetViews>
    <sheetView tabSelected="1" workbookViewId="0">
      <selection activeCell="F25" sqref="F25"/>
    </sheetView>
  </sheetViews>
  <sheetFormatPr defaultRowHeight="15" x14ac:dyDescent="0.25"/>
  <cols>
    <col min="2" max="2" width="24" bestFit="1" customWidth="1"/>
    <col min="5" max="5" width="18.140625" bestFit="1" customWidth="1"/>
    <col min="6" max="6" width="17.5703125" bestFit="1" customWidth="1"/>
    <col min="7" max="7" width="89.5703125" bestFit="1" customWidth="1"/>
  </cols>
  <sheetData>
    <row r="1" spans="1:7" ht="35.1" customHeight="1" thickBot="1" x14ac:dyDescent="0.3">
      <c r="A1" s="18" t="s">
        <v>0</v>
      </c>
      <c r="B1" s="19" t="s">
        <v>1</v>
      </c>
      <c r="C1" s="19" t="s">
        <v>2</v>
      </c>
      <c r="D1" s="20" t="s">
        <v>3</v>
      </c>
      <c r="E1" s="2" t="s">
        <v>4</v>
      </c>
      <c r="F1" s="3" t="s">
        <v>5</v>
      </c>
      <c r="G1" s="3" t="s">
        <v>43</v>
      </c>
    </row>
    <row r="2" spans="1:7" ht="15.75" x14ac:dyDescent="0.25">
      <c r="A2" s="21">
        <v>303</v>
      </c>
      <c r="B2" s="24" t="s">
        <v>45</v>
      </c>
      <c r="C2" s="23" t="s">
        <v>8</v>
      </c>
      <c r="D2" s="24" t="s">
        <v>46</v>
      </c>
      <c r="E2" s="7" t="s">
        <v>47</v>
      </c>
      <c r="F2" s="8">
        <v>700</v>
      </c>
      <c r="G2" s="24"/>
    </row>
    <row r="3" spans="1:7" ht="15.75" x14ac:dyDescent="0.25">
      <c r="A3" s="21">
        <v>304</v>
      </c>
      <c r="B3" s="24" t="s">
        <v>48</v>
      </c>
      <c r="C3" s="23" t="s">
        <v>8</v>
      </c>
      <c r="D3" s="24" t="s">
        <v>46</v>
      </c>
      <c r="E3" s="7" t="s">
        <v>47</v>
      </c>
      <c r="F3" s="8">
        <v>900</v>
      </c>
      <c r="G3" s="24"/>
    </row>
    <row r="4" spans="1:7" ht="15.75" x14ac:dyDescent="0.25">
      <c r="A4" s="21">
        <v>305</v>
      </c>
      <c r="B4" s="24" t="s">
        <v>49</v>
      </c>
      <c r="C4" s="23" t="s">
        <v>8</v>
      </c>
      <c r="D4" s="24" t="s">
        <v>46</v>
      </c>
      <c r="E4" s="7" t="s">
        <v>47</v>
      </c>
      <c r="F4" s="8">
        <v>1100</v>
      </c>
      <c r="G4" s="24"/>
    </row>
    <row r="5" spans="1:7" ht="15.75" x14ac:dyDescent="0.25">
      <c r="A5" s="21">
        <v>320</v>
      </c>
      <c r="B5" s="24" t="s">
        <v>64</v>
      </c>
      <c r="C5" s="23" t="s">
        <v>8</v>
      </c>
      <c r="D5" s="24" t="s">
        <v>46</v>
      </c>
      <c r="E5" s="7" t="s">
        <v>47</v>
      </c>
      <c r="F5" s="8">
        <v>75</v>
      </c>
      <c r="G5" s="24" t="s">
        <v>65</v>
      </c>
    </row>
    <row r="6" spans="1:7" ht="15.75" x14ac:dyDescent="0.25">
      <c r="A6" s="21">
        <v>321</v>
      </c>
      <c r="B6" s="24" t="s">
        <v>66</v>
      </c>
      <c r="C6" s="23" t="s">
        <v>8</v>
      </c>
      <c r="D6" s="24" t="s">
        <v>46</v>
      </c>
      <c r="E6" s="7" t="s">
        <v>47</v>
      </c>
      <c r="F6" s="8">
        <v>75</v>
      </c>
      <c r="G6" s="24" t="s">
        <v>65</v>
      </c>
    </row>
    <row r="7" spans="1:7" ht="15.75" x14ac:dyDescent="0.25">
      <c r="A7" s="21">
        <v>322</v>
      </c>
      <c r="B7" s="24" t="s">
        <v>67</v>
      </c>
      <c r="C7" s="23" t="s">
        <v>8</v>
      </c>
      <c r="D7" s="24" t="s">
        <v>46</v>
      </c>
      <c r="E7" s="7" t="s">
        <v>47</v>
      </c>
      <c r="F7" s="8">
        <v>75</v>
      </c>
      <c r="G7" s="24" t="s">
        <v>65</v>
      </c>
    </row>
    <row r="8" spans="1:7" ht="15.75" x14ac:dyDescent="0.25">
      <c r="A8" s="21">
        <v>323</v>
      </c>
      <c r="B8" s="24" t="s">
        <v>68</v>
      </c>
      <c r="C8" s="23" t="s">
        <v>8</v>
      </c>
      <c r="D8" s="24" t="s">
        <v>46</v>
      </c>
      <c r="E8" s="7" t="s">
        <v>47</v>
      </c>
      <c r="F8" s="8">
        <v>75</v>
      </c>
      <c r="G8" s="24" t="s">
        <v>65</v>
      </c>
    </row>
    <row r="9" spans="1:7" ht="15.75" x14ac:dyDescent="0.25">
      <c r="A9" s="21">
        <v>324</v>
      </c>
      <c r="B9" s="24" t="s">
        <v>69</v>
      </c>
      <c r="C9" s="23" t="s">
        <v>8</v>
      </c>
      <c r="D9" s="24" t="s">
        <v>46</v>
      </c>
      <c r="E9" s="7" t="s">
        <v>47</v>
      </c>
      <c r="F9" s="8">
        <v>75</v>
      </c>
      <c r="G9" s="24" t="s">
        <v>65</v>
      </c>
    </row>
    <row r="10" spans="1:7" ht="15.75" x14ac:dyDescent="0.25">
      <c r="A10" s="21">
        <v>325</v>
      </c>
      <c r="B10" s="24" t="s">
        <v>70</v>
      </c>
      <c r="C10" s="23" t="s">
        <v>8</v>
      </c>
      <c r="D10" s="24" t="s">
        <v>46</v>
      </c>
      <c r="E10" s="7" t="s">
        <v>47</v>
      </c>
      <c r="F10" s="8">
        <v>75</v>
      </c>
      <c r="G10" s="24" t="s">
        <v>65</v>
      </c>
    </row>
    <row r="11" spans="1:7" ht="15.75" x14ac:dyDescent="0.25">
      <c r="A11" s="21">
        <v>326</v>
      </c>
      <c r="B11" s="24" t="s">
        <v>71</v>
      </c>
      <c r="C11" s="23" t="s">
        <v>8</v>
      </c>
      <c r="D11" s="24" t="s">
        <v>46</v>
      </c>
      <c r="E11" s="7" t="s">
        <v>47</v>
      </c>
      <c r="F11" s="8">
        <v>75</v>
      </c>
      <c r="G11" s="24" t="s">
        <v>65</v>
      </c>
    </row>
    <row r="12" spans="1:7" ht="15.75" x14ac:dyDescent="0.25">
      <c r="A12" s="21">
        <v>350</v>
      </c>
      <c r="B12" s="22" t="s">
        <v>44</v>
      </c>
      <c r="C12" s="23" t="s">
        <v>8</v>
      </c>
      <c r="D12" s="23" t="s">
        <v>9</v>
      </c>
      <c r="E12" s="7" t="s">
        <v>10</v>
      </c>
      <c r="F12" s="8">
        <v>400</v>
      </c>
      <c r="G12" s="24" t="s">
        <v>63</v>
      </c>
    </row>
    <row r="13" spans="1:7" ht="15.75" x14ac:dyDescent="0.25">
      <c r="A13" s="21">
        <v>351</v>
      </c>
      <c r="B13" s="22" t="s">
        <v>44</v>
      </c>
      <c r="C13" s="23" t="s">
        <v>8</v>
      </c>
      <c r="D13" s="23" t="s">
        <v>9</v>
      </c>
      <c r="E13" s="7" t="s">
        <v>10</v>
      </c>
      <c r="F13" s="8">
        <v>400</v>
      </c>
      <c r="G13" s="24" t="s">
        <v>63</v>
      </c>
    </row>
    <row r="14" spans="1:7" ht="15.75" x14ac:dyDescent="0.25">
      <c r="A14" s="21">
        <v>352</v>
      </c>
      <c r="B14" s="22" t="s">
        <v>44</v>
      </c>
      <c r="C14" s="23" t="s">
        <v>8</v>
      </c>
      <c r="D14" s="23" t="s">
        <v>9</v>
      </c>
      <c r="E14" s="7" t="s">
        <v>10</v>
      </c>
      <c r="F14" s="8">
        <v>400</v>
      </c>
      <c r="G14" s="24" t="s">
        <v>63</v>
      </c>
    </row>
    <row r="15" spans="1:7" ht="15.75" x14ac:dyDescent="0.25">
      <c r="A15" s="21">
        <v>353</v>
      </c>
      <c r="B15" s="22" t="s">
        <v>44</v>
      </c>
      <c r="C15" s="23" t="s">
        <v>8</v>
      </c>
      <c r="D15" s="23" t="s">
        <v>9</v>
      </c>
      <c r="E15" s="7" t="s">
        <v>10</v>
      </c>
      <c r="F15" s="8">
        <v>400</v>
      </c>
      <c r="G15" s="24" t="s">
        <v>63</v>
      </c>
    </row>
    <row r="16" spans="1:7" ht="15.75" x14ac:dyDescent="0.25">
      <c r="A16" s="21">
        <v>354</v>
      </c>
      <c r="B16" s="22" t="s">
        <v>44</v>
      </c>
      <c r="C16" s="23" t="s">
        <v>8</v>
      </c>
      <c r="D16" s="23" t="s">
        <v>9</v>
      </c>
      <c r="E16" s="7" t="s">
        <v>10</v>
      </c>
      <c r="F16" s="8">
        <v>400</v>
      </c>
      <c r="G16" s="24" t="s">
        <v>63</v>
      </c>
    </row>
    <row r="17" spans="1:7" ht="15.75" x14ac:dyDescent="0.25">
      <c r="A17" s="21">
        <v>355</v>
      </c>
      <c r="B17" s="22" t="s">
        <v>44</v>
      </c>
      <c r="C17" s="23" t="s">
        <v>8</v>
      </c>
      <c r="D17" s="23" t="s">
        <v>9</v>
      </c>
      <c r="E17" s="7" t="s">
        <v>10</v>
      </c>
      <c r="F17" s="8">
        <v>400</v>
      </c>
      <c r="G17" s="24" t="s">
        <v>63</v>
      </c>
    </row>
    <row r="18" spans="1:7" ht="15.75" x14ac:dyDescent="0.25">
      <c r="A18" s="21">
        <v>356</v>
      </c>
      <c r="B18" s="22" t="s">
        <v>44</v>
      </c>
      <c r="C18" s="23" t="s">
        <v>8</v>
      </c>
      <c r="D18" s="23" t="s">
        <v>9</v>
      </c>
      <c r="E18" s="7" t="s">
        <v>10</v>
      </c>
      <c r="F18" s="8">
        <v>400</v>
      </c>
      <c r="G18" s="24" t="s">
        <v>63</v>
      </c>
    </row>
    <row r="19" spans="1:7" ht="15.75" x14ac:dyDescent="0.25">
      <c r="A19" s="21">
        <v>357</v>
      </c>
      <c r="B19" s="22" t="s">
        <v>44</v>
      </c>
      <c r="C19" s="23" t="s">
        <v>8</v>
      </c>
      <c r="D19" s="23" t="s">
        <v>9</v>
      </c>
      <c r="E19" s="7" t="s">
        <v>10</v>
      </c>
      <c r="F19" s="8">
        <v>400</v>
      </c>
      <c r="G19" s="24" t="s">
        <v>63</v>
      </c>
    </row>
    <row r="20" spans="1:7" ht="15.75" x14ac:dyDescent="0.25">
      <c r="A20" s="21">
        <v>358</v>
      </c>
      <c r="B20" s="22" t="s">
        <v>44</v>
      </c>
      <c r="C20" s="23" t="s">
        <v>8</v>
      </c>
      <c r="D20" s="23" t="s">
        <v>9</v>
      </c>
      <c r="E20" s="7" t="s">
        <v>10</v>
      </c>
      <c r="F20" s="8">
        <v>400</v>
      </c>
      <c r="G20" s="2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النطاطيات والزحلاقيات</vt:lpstr>
      <vt:lpstr>سناك للحفلات</vt:lpstr>
      <vt:lpstr>ديكورات الحفلات</vt:lpstr>
      <vt:lpstr>بنود اخرى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marzooq</dc:creator>
  <cp:lastModifiedBy>mahmoud marzooq</cp:lastModifiedBy>
  <dcterms:created xsi:type="dcterms:W3CDTF">2026-05-14T16:34:24Z</dcterms:created>
  <dcterms:modified xsi:type="dcterms:W3CDTF">2026-06-01T22:21:44Z</dcterms:modified>
</cp:coreProperties>
</file>